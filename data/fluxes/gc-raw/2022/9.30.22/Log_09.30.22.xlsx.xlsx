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User\Desktop\GC Analyses\Jack\UIC Prairie Sampling\9.30.22\"/>
    </mc:Choice>
  </mc:AlternateContent>
  <xr:revisionPtr revIDLastSave="0" documentId="13_ncr:1_{5476D78A-FED1-433D-AF8E-ACA8B062C65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ecision" sheetId="1" r:id="rId1"/>
    <sheet name="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1" i="1" l="1"/>
  <c r="D82" i="1" s="1"/>
  <c r="C81" i="1"/>
  <c r="C82" i="1" s="1"/>
  <c r="B81" i="1"/>
  <c r="B82" i="1" s="1"/>
  <c r="D16" i="1"/>
  <c r="D17" i="1" s="1"/>
  <c r="C16" i="1"/>
  <c r="C17" i="1" s="1"/>
  <c r="B16" i="1"/>
  <c r="B17" i="1" s="1"/>
  <c r="D63" i="1"/>
  <c r="D64" i="1" s="1"/>
  <c r="C63" i="1"/>
  <c r="C64" i="1" s="1"/>
  <c r="B63" i="1"/>
  <c r="B64" i="1" s="1"/>
  <c r="D45" i="1"/>
  <c r="D46" i="1" s="1"/>
  <c r="C45" i="1"/>
  <c r="C46" i="1" s="1"/>
  <c r="B45" i="1"/>
  <c r="B46" i="1" s="1"/>
</calcChain>
</file>

<file path=xl/sharedStrings.xml><?xml version="1.0" encoding="utf-8"?>
<sst xmlns="http://schemas.openxmlformats.org/spreadsheetml/2006/main" count="496" uniqueCount="134">
  <si>
    <t>Date</t>
  </si>
  <si>
    <t>Initial</t>
  </si>
  <si>
    <t>Std #</t>
  </si>
  <si>
    <t>CH4 Peak Ht</t>
  </si>
  <si>
    <t>CO2 Peak Ht</t>
  </si>
  <si>
    <t>N2O Peak Ht</t>
  </si>
  <si>
    <t>Average</t>
  </si>
  <si>
    <t>&lt; Max of:</t>
  </si>
  <si>
    <t>1. Complete this file with at least 5 standards (or until precision meets reqs.) at the start of your run. 2. Report precision in "tank presure log". 3. Save the file as "initials_date.xlsx" into your own run folder: Name &gt; Run</t>
  </si>
  <si>
    <t>STD</t>
  </si>
  <si>
    <t>DATE COLLECTED</t>
  </si>
  <si>
    <t xml:space="preserve">SITE </t>
  </si>
  <si>
    <t>ECOSYSTEM</t>
  </si>
  <si>
    <t>CHAMBER #</t>
  </si>
  <si>
    <t>TIME POINT</t>
  </si>
  <si>
    <t>GC RUN DATE</t>
  </si>
  <si>
    <t>FILENAME</t>
  </si>
  <si>
    <t>C.V</t>
  </si>
  <si>
    <t>JWP</t>
  </si>
  <si>
    <t>SW-1</t>
  </si>
  <si>
    <t>T0</t>
  </si>
  <si>
    <t>T1</t>
  </si>
  <si>
    <t>T2</t>
  </si>
  <si>
    <t>T3</t>
  </si>
  <si>
    <t>T4</t>
  </si>
  <si>
    <t>N/A</t>
  </si>
  <si>
    <t>NOTES</t>
  </si>
  <si>
    <t>UP-1</t>
  </si>
  <si>
    <t>SW-2</t>
  </si>
  <si>
    <t>UP-2</t>
  </si>
  <si>
    <t>220930_001</t>
  </si>
  <si>
    <t>220930_002</t>
  </si>
  <si>
    <t>220930_003</t>
  </si>
  <si>
    <t>220930_004</t>
  </si>
  <si>
    <t>220930_005</t>
  </si>
  <si>
    <t>220930_006</t>
  </si>
  <si>
    <t>220930_007</t>
  </si>
  <si>
    <t>220930_008</t>
  </si>
  <si>
    <t>220930_009</t>
  </si>
  <si>
    <t>220930_010</t>
  </si>
  <si>
    <t>220930_011</t>
  </si>
  <si>
    <t>220930_012</t>
  </si>
  <si>
    <t>220930_013</t>
  </si>
  <si>
    <t>220930_014</t>
  </si>
  <si>
    <t>220930_015</t>
  </si>
  <si>
    <t>220930_016</t>
  </si>
  <si>
    <t>220930_017</t>
  </si>
  <si>
    <t>220930_018</t>
  </si>
  <si>
    <t>220930_019</t>
  </si>
  <si>
    <t>220930_020</t>
  </si>
  <si>
    <t>220930_021</t>
  </si>
  <si>
    <t>220930_022</t>
  </si>
  <si>
    <t>220930_023</t>
  </si>
  <si>
    <t>220930_024</t>
  </si>
  <si>
    <t>220930_025</t>
  </si>
  <si>
    <t>220930_026</t>
  </si>
  <si>
    <t>220930_027</t>
  </si>
  <si>
    <t>JF/RF</t>
  </si>
  <si>
    <t>less than 5 ml pulled</t>
  </si>
  <si>
    <t>220930_028</t>
  </si>
  <si>
    <t>220930_029</t>
  </si>
  <si>
    <t>220930_030</t>
  </si>
  <si>
    <t>220930_031</t>
  </si>
  <si>
    <t>220930_032</t>
  </si>
  <si>
    <t>220930_033</t>
  </si>
  <si>
    <t>220930_034</t>
  </si>
  <si>
    <t>220930_035</t>
  </si>
  <si>
    <t>220930_036</t>
  </si>
  <si>
    <t>220930_037</t>
  </si>
  <si>
    <t>220930_038</t>
  </si>
  <si>
    <t>220930_039</t>
  </si>
  <si>
    <t>220930_040</t>
  </si>
  <si>
    <t>220930_041</t>
  </si>
  <si>
    <t>220930_042</t>
  </si>
  <si>
    <t>220930_043</t>
  </si>
  <si>
    <t>220930_044</t>
  </si>
  <si>
    <t>220930_045</t>
  </si>
  <si>
    <t>220930_046</t>
  </si>
  <si>
    <t>220930_047</t>
  </si>
  <si>
    <t>220930_048</t>
  </si>
  <si>
    <t>220930_049</t>
  </si>
  <si>
    <t>220930_050</t>
  </si>
  <si>
    <t>220930_051</t>
  </si>
  <si>
    <t>220930_052</t>
  </si>
  <si>
    <t>220930_053</t>
  </si>
  <si>
    <t>220930_054</t>
  </si>
  <si>
    <t>220930_055</t>
  </si>
  <si>
    <t>220930_056</t>
  </si>
  <si>
    <t>220930_057</t>
  </si>
  <si>
    <t>220930_058</t>
  </si>
  <si>
    <t>220930_059</t>
  </si>
  <si>
    <t>220930_060</t>
  </si>
  <si>
    <t>MY/RF</t>
  </si>
  <si>
    <t>221201_001</t>
  </si>
  <si>
    <t>221201_002</t>
  </si>
  <si>
    <t>221201_003</t>
  </si>
  <si>
    <t>221201_004</t>
  </si>
  <si>
    <t>221201_005</t>
  </si>
  <si>
    <t>220930_061</t>
  </si>
  <si>
    <t>220930_062</t>
  </si>
  <si>
    <t>220930_063</t>
  </si>
  <si>
    <t>220930_064</t>
  </si>
  <si>
    <t>220930_065</t>
  </si>
  <si>
    <t>220930_066</t>
  </si>
  <si>
    <t>220930_067</t>
  </si>
  <si>
    <t>220930_068</t>
  </si>
  <si>
    <t>220930_069</t>
  </si>
  <si>
    <t>220930_070</t>
  </si>
  <si>
    <t>220930_071</t>
  </si>
  <si>
    <t>220930_072</t>
  </si>
  <si>
    <t>220930_073</t>
  </si>
  <si>
    <t>220930_074</t>
  </si>
  <si>
    <t>220930_075</t>
  </si>
  <si>
    <t>220930_076</t>
  </si>
  <si>
    <t>220930_077</t>
  </si>
  <si>
    <t>220930_078</t>
  </si>
  <si>
    <t>220930_079</t>
  </si>
  <si>
    <t>220930_080</t>
  </si>
  <si>
    <t>220930_081</t>
  </si>
  <si>
    <t>220930_082</t>
  </si>
  <si>
    <t>220930_083</t>
  </si>
  <si>
    <t>220930_084</t>
  </si>
  <si>
    <t>220930_085</t>
  </si>
  <si>
    <t>220930_086</t>
  </si>
  <si>
    <t>220930_087</t>
  </si>
  <si>
    <t>220930_088</t>
  </si>
  <si>
    <t>220930_089</t>
  </si>
  <si>
    <t>220930_090</t>
  </si>
  <si>
    <t>220930_091</t>
  </si>
  <si>
    <t>220930_092</t>
  </si>
  <si>
    <t>220930_093</t>
  </si>
  <si>
    <t>220930_094</t>
  </si>
  <si>
    <t>IB/SP</t>
  </si>
  <si>
    <t xml:space="preserve">MISSING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</si>
</sst>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9" fontId="0" fillId="0" borderId="0" xfId="0" applyNumberFormat="1"/>
    <xf numFmtId="0" fontId="0" fillId="0" borderId="1" xfId="0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/>
    <xf numFmtId="14" fontId="0" fillId="0" borderId="0" xfId="0" applyNumberFormat="1" applyAlignment="1">
      <alignment horizontal="right"/>
    </xf>
    <xf numFmtId="0" fontId="2" fillId="2" borderId="0" xfId="1"/>
    <xf numFmtId="0" fontId="3" fillId="4" borderId="0" xfId="2"/>
    <xf numFmtId="0" fontId="0" fillId="0" borderId="0" xfId="0" applyAlignment="1">
      <alignment horizontal="center" vertical="top" wrapText="1"/>
    </xf>
    <xf numFmtId="0" fontId="3" fillId="4" borderId="0" xfId="2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zoomScale="85" zoomScaleNormal="85" workbookViewId="0">
      <selection activeCell="D9" sqref="D9"/>
    </sheetView>
  </sheetViews>
  <sheetFormatPr defaultRowHeight="15" x14ac:dyDescent="0.25"/>
  <cols>
    <col min="1" max="1" width="15.42578125" customWidth="1"/>
    <col min="2" max="2" width="12.85546875" customWidth="1"/>
    <col min="3" max="3" width="11.7109375" bestFit="1" customWidth="1"/>
    <col min="4" max="4" width="12" bestFit="1" customWidth="1"/>
    <col min="5" max="5" width="14.140625" customWidth="1"/>
  </cols>
  <sheetData>
    <row r="1" spans="1:5" x14ac:dyDescent="0.25">
      <c r="A1" t="s">
        <v>0</v>
      </c>
      <c r="B1" t="s">
        <v>1</v>
      </c>
    </row>
    <row r="2" spans="1:5" x14ac:dyDescent="0.25">
      <c r="A2" s="3">
        <v>44897</v>
      </c>
      <c r="B2" t="s">
        <v>132</v>
      </c>
    </row>
    <row r="3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16</v>
      </c>
    </row>
    <row r="4" spans="1:5" x14ac:dyDescent="0.25">
      <c r="A4">
        <v>1</v>
      </c>
      <c r="B4" s="8">
        <v>9855</v>
      </c>
      <c r="C4" s="8">
        <v>959405</v>
      </c>
      <c r="D4" s="8">
        <v>15642</v>
      </c>
      <c r="E4" s="8" t="s">
        <v>109</v>
      </c>
    </row>
    <row r="5" spans="1:5" x14ac:dyDescent="0.25">
      <c r="A5">
        <v>2</v>
      </c>
      <c r="B5" s="8">
        <v>10219</v>
      </c>
      <c r="C5" s="8">
        <v>979054</v>
      </c>
      <c r="D5" s="8">
        <v>16463</v>
      </c>
      <c r="E5" s="8" t="s">
        <v>110</v>
      </c>
    </row>
    <row r="6" spans="1:5" x14ac:dyDescent="0.25">
      <c r="A6">
        <v>3</v>
      </c>
      <c r="B6" s="8">
        <v>10317</v>
      </c>
      <c r="C6" s="8">
        <v>983774</v>
      </c>
      <c r="D6" s="8">
        <v>16364</v>
      </c>
      <c r="E6" s="8" t="s">
        <v>111</v>
      </c>
    </row>
    <row r="7" spans="1:5" x14ac:dyDescent="0.25">
      <c r="A7">
        <v>4</v>
      </c>
      <c r="B7" s="8">
        <v>10322</v>
      </c>
      <c r="C7" s="8">
        <v>980511</v>
      </c>
      <c r="D7" s="8">
        <v>16363</v>
      </c>
      <c r="E7" s="8" t="s">
        <v>112</v>
      </c>
    </row>
    <row r="8" spans="1:5" x14ac:dyDescent="0.25">
      <c r="A8">
        <v>5</v>
      </c>
      <c r="B8" s="8">
        <v>10404</v>
      </c>
      <c r="C8" s="8">
        <v>989005</v>
      </c>
      <c r="D8" s="8">
        <v>16519</v>
      </c>
      <c r="E8" s="8" t="s">
        <v>113</v>
      </c>
    </row>
    <row r="9" spans="1:5" x14ac:dyDescent="0.25">
      <c r="A9">
        <v>6</v>
      </c>
      <c r="E9" s="5"/>
    </row>
    <row r="10" spans="1:5" x14ac:dyDescent="0.25">
      <c r="A10">
        <v>7</v>
      </c>
    </row>
    <row r="11" spans="1:5" x14ac:dyDescent="0.25">
      <c r="A11">
        <v>8</v>
      </c>
    </row>
    <row r="12" spans="1:5" x14ac:dyDescent="0.25">
      <c r="A12">
        <v>9</v>
      </c>
    </row>
    <row r="13" spans="1:5" x14ac:dyDescent="0.25">
      <c r="A13">
        <v>10</v>
      </c>
    </row>
    <row r="14" spans="1:5" x14ac:dyDescent="0.25">
      <c r="A14">
        <v>11</v>
      </c>
    </row>
    <row r="15" spans="1:5" x14ac:dyDescent="0.25">
      <c r="A15">
        <v>12</v>
      </c>
    </row>
    <row r="16" spans="1:5" x14ac:dyDescent="0.25">
      <c r="A16" t="s">
        <v>6</v>
      </c>
      <c r="B16">
        <f>AVERAGE(B4:B15)</f>
        <v>10223.4</v>
      </c>
      <c r="C16">
        <f>AVERAGE(C4:C15)</f>
        <v>978349.8</v>
      </c>
      <c r="D16">
        <f>AVERAGE(D4:D15)</f>
        <v>16270.2</v>
      </c>
    </row>
    <row r="17" spans="1:5" x14ac:dyDescent="0.25">
      <c r="A17" t="s">
        <v>17</v>
      </c>
      <c r="B17">
        <f>STDEV(B4:B15)/B16*100</f>
        <v>2.1140065380636384</v>
      </c>
      <c r="C17">
        <f>STDEV(C4:C15)/C16*100</f>
        <v>1.1507779785156098</v>
      </c>
      <c r="D17">
        <f>STDEV(D4:D15)/D16*100</f>
        <v>2.1970403879743672</v>
      </c>
    </row>
    <row r="18" spans="1:5" x14ac:dyDescent="0.25">
      <c r="A18" t="s">
        <v>7</v>
      </c>
      <c r="B18" s="1">
        <v>0.02</v>
      </c>
      <c r="C18" s="1">
        <v>0.01</v>
      </c>
      <c r="D18" s="1">
        <v>0.05</v>
      </c>
    </row>
    <row r="19" spans="1:5" ht="15" customHeight="1" x14ac:dyDescent="0.25">
      <c r="A19" s="10" t="s">
        <v>8</v>
      </c>
      <c r="B19" s="10"/>
      <c r="C19" s="10"/>
    </row>
    <row r="20" spans="1:5" x14ac:dyDescent="0.25">
      <c r="A20" s="10"/>
      <c r="B20" s="10"/>
      <c r="C20" s="10"/>
    </row>
    <row r="21" spans="1:5" x14ac:dyDescent="0.25">
      <c r="A21" s="10"/>
      <c r="B21" s="10"/>
      <c r="C21" s="10"/>
    </row>
    <row r="22" spans="1:5" x14ac:dyDescent="0.25">
      <c r="A22" s="10"/>
      <c r="B22" s="10"/>
      <c r="C22" s="10"/>
    </row>
    <row r="23" spans="1:5" x14ac:dyDescent="0.25">
      <c r="A23" s="10"/>
      <c r="B23" s="10"/>
      <c r="C23" s="10"/>
    </row>
    <row r="24" spans="1:5" x14ac:dyDescent="0.25">
      <c r="A24" s="10"/>
      <c r="B24" s="10"/>
      <c r="C24" s="10"/>
    </row>
    <row r="25" spans="1:5" x14ac:dyDescent="0.25">
      <c r="A25" s="10"/>
      <c r="B25" s="10"/>
      <c r="C25" s="10"/>
    </row>
    <row r="26" spans="1:5" x14ac:dyDescent="0.25">
      <c r="A26" s="10"/>
      <c r="B26" s="10"/>
      <c r="C26" s="10"/>
    </row>
    <row r="27" spans="1:5" x14ac:dyDescent="0.25">
      <c r="A27" s="10"/>
      <c r="B27" s="10"/>
      <c r="C27" s="10"/>
    </row>
    <row r="28" spans="1:5" x14ac:dyDescent="0.25">
      <c r="A28" s="10"/>
      <c r="B28" s="10"/>
      <c r="C28" s="10"/>
    </row>
    <row r="30" spans="1:5" x14ac:dyDescent="0.25">
      <c r="A30" t="s">
        <v>0</v>
      </c>
      <c r="B30" t="s">
        <v>1</v>
      </c>
    </row>
    <row r="31" spans="1:5" x14ac:dyDescent="0.25">
      <c r="A31" s="3">
        <v>44894</v>
      </c>
      <c r="B31" t="s">
        <v>57</v>
      </c>
    </row>
    <row r="32" spans="1:5" x14ac:dyDescent="0.25">
      <c r="A32" s="2" t="s">
        <v>2</v>
      </c>
      <c r="B32" s="2" t="s">
        <v>3</v>
      </c>
      <c r="C32" s="2" t="s">
        <v>4</v>
      </c>
      <c r="D32" s="2" t="s">
        <v>5</v>
      </c>
      <c r="E32" s="2" t="s">
        <v>16</v>
      </c>
    </row>
    <row r="33" spans="1:11" x14ac:dyDescent="0.25">
      <c r="A33">
        <v>1</v>
      </c>
      <c r="B33" s="6">
        <v>10231</v>
      </c>
      <c r="C33" s="6">
        <v>982920</v>
      </c>
      <c r="D33" s="6">
        <v>16183</v>
      </c>
      <c r="E33" s="6" t="s">
        <v>40</v>
      </c>
      <c r="K33" s="3"/>
    </row>
    <row r="34" spans="1:11" x14ac:dyDescent="0.25">
      <c r="A34">
        <v>2</v>
      </c>
      <c r="B34" s="6">
        <v>10476</v>
      </c>
      <c r="C34" s="6">
        <v>995081</v>
      </c>
      <c r="D34" s="6">
        <v>16560</v>
      </c>
      <c r="E34" s="6" t="s">
        <v>41</v>
      </c>
    </row>
    <row r="35" spans="1:11" x14ac:dyDescent="0.25">
      <c r="A35">
        <v>3</v>
      </c>
      <c r="B35" s="8">
        <v>10260</v>
      </c>
      <c r="C35" s="8">
        <v>991460</v>
      </c>
      <c r="D35" s="8">
        <v>16809</v>
      </c>
      <c r="E35" s="8" t="s">
        <v>52</v>
      </c>
    </row>
    <row r="36" spans="1:11" x14ac:dyDescent="0.25">
      <c r="A36">
        <v>4</v>
      </c>
    </row>
    <row r="37" spans="1:11" x14ac:dyDescent="0.25">
      <c r="A37">
        <v>5</v>
      </c>
    </row>
    <row r="38" spans="1:11" x14ac:dyDescent="0.25">
      <c r="A38">
        <v>6</v>
      </c>
    </row>
    <row r="39" spans="1:11" x14ac:dyDescent="0.25">
      <c r="A39">
        <v>7</v>
      </c>
    </row>
    <row r="40" spans="1:11" x14ac:dyDescent="0.25">
      <c r="A40">
        <v>8</v>
      </c>
    </row>
    <row r="41" spans="1:11" x14ac:dyDescent="0.25">
      <c r="A41">
        <v>9</v>
      </c>
    </row>
    <row r="42" spans="1:11" x14ac:dyDescent="0.25">
      <c r="A42">
        <v>10</v>
      </c>
    </row>
    <row r="43" spans="1:11" x14ac:dyDescent="0.25">
      <c r="A43">
        <v>11</v>
      </c>
    </row>
    <row r="44" spans="1:11" x14ac:dyDescent="0.25">
      <c r="A44">
        <v>12</v>
      </c>
    </row>
    <row r="45" spans="1:11" x14ac:dyDescent="0.25">
      <c r="A45" t="s">
        <v>6</v>
      </c>
      <c r="B45">
        <f>AVERAGE(B33:B44)</f>
        <v>10322.333333333334</v>
      </c>
      <c r="C45">
        <f>AVERAGE(C33:C44)</f>
        <v>989820.33333333337</v>
      </c>
      <c r="D45">
        <f>AVERAGE(D33:D44)</f>
        <v>16517.333333333332</v>
      </c>
    </row>
    <row r="46" spans="1:11" x14ac:dyDescent="0.25">
      <c r="A46" t="s">
        <v>17</v>
      </c>
      <c r="B46">
        <f>STDEV(B33:B44)/B45*100</f>
        <v>1.2968661730499926</v>
      </c>
      <c r="C46">
        <f>STDEV(C33:C44)/C45*100</f>
        <v>0.63083226695746963</v>
      </c>
      <c r="D46">
        <f>STDEV(D33:D44)/D45*100</f>
        <v>1.9081378987351152</v>
      </c>
    </row>
    <row r="48" spans="1:11" x14ac:dyDescent="0.25">
      <c r="A48" t="s">
        <v>0</v>
      </c>
      <c r="B48" t="s">
        <v>1</v>
      </c>
    </row>
    <row r="49" spans="1:5" x14ac:dyDescent="0.25">
      <c r="A49" s="3">
        <v>44895</v>
      </c>
      <c r="B49" t="s">
        <v>57</v>
      </c>
    </row>
    <row r="50" spans="1:5" x14ac:dyDescent="0.25">
      <c r="A50" s="2" t="s">
        <v>2</v>
      </c>
      <c r="B50" s="2" t="s">
        <v>3</v>
      </c>
      <c r="C50" s="2" t="s">
        <v>4</v>
      </c>
      <c r="D50" s="2" t="s">
        <v>5</v>
      </c>
      <c r="E50" s="2" t="s">
        <v>16</v>
      </c>
    </row>
    <row r="51" spans="1:5" x14ac:dyDescent="0.25">
      <c r="A51">
        <v>1</v>
      </c>
      <c r="B51" s="9">
        <v>9583</v>
      </c>
      <c r="C51" s="9">
        <v>941110</v>
      </c>
      <c r="D51" s="9">
        <v>14519</v>
      </c>
      <c r="E51" t="s">
        <v>60</v>
      </c>
    </row>
    <row r="52" spans="1:5" x14ac:dyDescent="0.25">
      <c r="A52">
        <v>2</v>
      </c>
      <c r="B52" s="8">
        <v>10625</v>
      </c>
      <c r="C52" s="8">
        <v>1011422</v>
      </c>
      <c r="D52" s="8">
        <v>16469</v>
      </c>
      <c r="E52" t="s">
        <v>61</v>
      </c>
    </row>
    <row r="53" spans="1:5" x14ac:dyDescent="0.25">
      <c r="A53">
        <v>3</v>
      </c>
      <c r="B53" s="8">
        <v>10448</v>
      </c>
      <c r="C53" s="8">
        <v>1005350</v>
      </c>
      <c r="D53" s="8">
        <v>16424</v>
      </c>
      <c r="E53" t="s">
        <v>62</v>
      </c>
    </row>
    <row r="54" spans="1:5" x14ac:dyDescent="0.25">
      <c r="A54">
        <v>4</v>
      </c>
      <c r="B54" s="8">
        <v>10591</v>
      </c>
      <c r="C54" s="8">
        <v>1010452</v>
      </c>
      <c r="D54" s="8">
        <v>16782</v>
      </c>
      <c r="E54" t="s">
        <v>63</v>
      </c>
    </row>
    <row r="55" spans="1:5" x14ac:dyDescent="0.25">
      <c r="A55">
        <v>5</v>
      </c>
      <c r="B55" s="8">
        <v>10254</v>
      </c>
      <c r="C55" s="8">
        <v>991307</v>
      </c>
      <c r="D55" s="8">
        <v>16287</v>
      </c>
      <c r="E55" t="s">
        <v>64</v>
      </c>
    </row>
    <row r="56" spans="1:5" x14ac:dyDescent="0.25">
      <c r="A56">
        <v>6</v>
      </c>
      <c r="B56" s="8">
        <v>10682</v>
      </c>
      <c r="C56" s="8">
        <v>1013244</v>
      </c>
      <c r="D56" s="8">
        <v>16964</v>
      </c>
      <c r="E56" t="s">
        <v>75</v>
      </c>
    </row>
    <row r="57" spans="1:5" x14ac:dyDescent="0.25">
      <c r="A57">
        <v>7</v>
      </c>
      <c r="B57" s="8">
        <v>10186</v>
      </c>
      <c r="C57" s="8">
        <v>1007370</v>
      </c>
      <c r="D57" s="8">
        <v>17195</v>
      </c>
      <c r="E57" t="s">
        <v>86</v>
      </c>
    </row>
    <row r="58" spans="1:5" x14ac:dyDescent="0.25">
      <c r="A58">
        <v>8</v>
      </c>
    </row>
    <row r="59" spans="1:5" x14ac:dyDescent="0.25">
      <c r="A59">
        <v>9</v>
      </c>
    </row>
    <row r="60" spans="1:5" x14ac:dyDescent="0.25">
      <c r="A60">
        <v>10</v>
      </c>
    </row>
    <row r="61" spans="1:5" x14ac:dyDescent="0.25">
      <c r="A61">
        <v>11</v>
      </c>
    </row>
    <row r="62" spans="1:5" x14ac:dyDescent="0.25">
      <c r="A62">
        <v>12</v>
      </c>
    </row>
    <row r="63" spans="1:5" x14ac:dyDescent="0.25">
      <c r="A63" t="s">
        <v>6</v>
      </c>
      <c r="B63">
        <f>AVERAGE(B51:B62)</f>
        <v>10338.428571428571</v>
      </c>
      <c r="C63">
        <f>AVERAGE(C51:C62)</f>
        <v>997179.28571428568</v>
      </c>
      <c r="D63">
        <f>AVERAGE(D51:D62)</f>
        <v>16377.142857142857</v>
      </c>
    </row>
    <row r="64" spans="1:5" x14ac:dyDescent="0.25">
      <c r="A64" t="s">
        <v>17</v>
      </c>
      <c r="B64">
        <f>STDEV(B51:B62)/B63*100</f>
        <v>3.6980184534791203</v>
      </c>
      <c r="C64">
        <f>STDEV(C51:C62)/C63*100</f>
        <v>2.5847426206401196</v>
      </c>
      <c r="D64">
        <f>STDEV(D51:D62)/D63*100</f>
        <v>5.374646297690906</v>
      </c>
    </row>
    <row r="66" spans="1:5" x14ac:dyDescent="0.25">
      <c r="A66" t="s">
        <v>0</v>
      </c>
      <c r="B66" t="s">
        <v>1</v>
      </c>
    </row>
    <row r="67" spans="1:5" x14ac:dyDescent="0.25">
      <c r="A67" s="3">
        <v>44896</v>
      </c>
      <c r="B67" t="s">
        <v>92</v>
      </c>
    </row>
    <row r="68" spans="1:5" x14ac:dyDescent="0.25">
      <c r="A68" s="2" t="s">
        <v>2</v>
      </c>
      <c r="B68" s="2" t="s">
        <v>3</v>
      </c>
      <c r="C68" s="2" t="s">
        <v>4</v>
      </c>
      <c r="D68" s="2" t="s">
        <v>5</v>
      </c>
      <c r="E68" s="2" t="s">
        <v>16</v>
      </c>
    </row>
    <row r="69" spans="1:5" x14ac:dyDescent="0.25">
      <c r="A69">
        <v>1</v>
      </c>
      <c r="B69" s="8">
        <v>10431</v>
      </c>
      <c r="C69" s="8">
        <v>1014521</v>
      </c>
      <c r="D69" s="8">
        <v>16885</v>
      </c>
      <c r="E69" t="s">
        <v>93</v>
      </c>
    </row>
    <row r="70" spans="1:5" x14ac:dyDescent="0.25">
      <c r="A70">
        <v>2</v>
      </c>
      <c r="B70" s="8">
        <v>10648</v>
      </c>
      <c r="C70" s="8">
        <v>1022600</v>
      </c>
      <c r="D70" s="8">
        <v>17625</v>
      </c>
      <c r="E70" t="s">
        <v>94</v>
      </c>
    </row>
    <row r="71" spans="1:5" x14ac:dyDescent="0.25">
      <c r="A71">
        <v>3</v>
      </c>
      <c r="B71" s="8">
        <v>10666</v>
      </c>
      <c r="C71" s="8">
        <v>1018453</v>
      </c>
      <c r="D71" s="8">
        <v>17206</v>
      </c>
      <c r="E71" t="s">
        <v>95</v>
      </c>
    </row>
    <row r="72" spans="1:5" x14ac:dyDescent="0.25">
      <c r="A72">
        <v>4</v>
      </c>
      <c r="B72" s="8">
        <v>10666</v>
      </c>
      <c r="C72" s="8">
        <v>1021483</v>
      </c>
      <c r="D72" s="8">
        <v>17312</v>
      </c>
      <c r="E72" t="s">
        <v>96</v>
      </c>
    </row>
    <row r="73" spans="1:5" x14ac:dyDescent="0.25">
      <c r="A73">
        <v>5</v>
      </c>
      <c r="B73" s="8">
        <v>10686</v>
      </c>
      <c r="C73" s="8">
        <v>1022897</v>
      </c>
      <c r="D73" s="8">
        <v>17451</v>
      </c>
      <c r="E73" t="s">
        <v>97</v>
      </c>
    </row>
    <row r="74" spans="1:5" x14ac:dyDescent="0.25">
      <c r="A74">
        <v>6</v>
      </c>
      <c r="E74" s="5"/>
    </row>
    <row r="75" spans="1:5" x14ac:dyDescent="0.25">
      <c r="A75">
        <v>7</v>
      </c>
    </row>
    <row r="76" spans="1:5" x14ac:dyDescent="0.25">
      <c r="A76">
        <v>8</v>
      </c>
    </row>
    <row r="77" spans="1:5" x14ac:dyDescent="0.25">
      <c r="A77">
        <v>9</v>
      </c>
    </row>
    <row r="78" spans="1:5" x14ac:dyDescent="0.25">
      <c r="A78">
        <v>10</v>
      </c>
    </row>
    <row r="79" spans="1:5" x14ac:dyDescent="0.25">
      <c r="A79">
        <v>11</v>
      </c>
    </row>
    <row r="80" spans="1:5" x14ac:dyDescent="0.25">
      <c r="A80">
        <v>12</v>
      </c>
    </row>
    <row r="81" spans="1:4" x14ac:dyDescent="0.25">
      <c r="A81" t="s">
        <v>6</v>
      </c>
      <c r="B81">
        <f>AVERAGE(B69:B80)</f>
        <v>10619.4</v>
      </c>
      <c r="C81">
        <f>AVERAGE(C69:C80)</f>
        <v>1019990.8</v>
      </c>
      <c r="D81">
        <f>AVERAGE(D69:D80)</f>
        <v>17295.8</v>
      </c>
    </row>
    <row r="82" spans="1:4" x14ac:dyDescent="0.25">
      <c r="A82" t="s">
        <v>17</v>
      </c>
      <c r="B82">
        <f>STDEV(B69:B80)/B81*100</f>
        <v>0.99980642039272649</v>
      </c>
      <c r="C82">
        <f>STDEV(C69:C80)/C81*100</f>
        <v>0.34580553076055665</v>
      </c>
      <c r="D82">
        <f>STDEV(D69:D80)/D81*100</f>
        <v>1.6083838477169419</v>
      </c>
    </row>
  </sheetData>
  <mergeCells count="1">
    <mergeCell ref="A19:C28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E9AB-7D8B-4292-B29C-595E327A768B}">
  <dimension ref="A1:H107"/>
  <sheetViews>
    <sheetView tabSelected="1" topLeftCell="A64" zoomScale="80" zoomScaleNormal="80" workbookViewId="0">
      <selection activeCell="H96" sqref="H96"/>
    </sheetView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4" width="13.140625" customWidth="1"/>
    <col min="5" max="5" width="15.5703125" customWidth="1"/>
    <col min="6" max="6" width="15.7109375" customWidth="1"/>
    <col min="7" max="7" width="12.85546875" customWidth="1"/>
    <col min="8" max="8" width="23.85546875" customWidth="1"/>
  </cols>
  <sheetData>
    <row r="1" spans="1:8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26</v>
      </c>
    </row>
    <row r="2" spans="1:8" x14ac:dyDescent="0.25">
      <c r="A2" s="3">
        <v>44834</v>
      </c>
      <c r="B2" t="s">
        <v>18</v>
      </c>
      <c r="C2" s="4" t="s">
        <v>19</v>
      </c>
      <c r="D2" s="4">
        <v>1</v>
      </c>
      <c r="E2" s="4" t="s">
        <v>20</v>
      </c>
      <c r="F2" s="3">
        <v>44894</v>
      </c>
      <c r="G2" t="s">
        <v>30</v>
      </c>
    </row>
    <row r="3" spans="1:8" x14ac:dyDescent="0.25">
      <c r="A3" s="3">
        <v>44834</v>
      </c>
      <c r="B3" t="s">
        <v>18</v>
      </c>
      <c r="C3" s="4" t="s">
        <v>19</v>
      </c>
      <c r="D3" s="4">
        <v>1</v>
      </c>
      <c r="E3" s="4" t="s">
        <v>21</v>
      </c>
      <c r="F3" s="3">
        <v>44894</v>
      </c>
      <c r="G3" t="s">
        <v>31</v>
      </c>
    </row>
    <row r="4" spans="1:8" x14ac:dyDescent="0.25">
      <c r="A4" s="3">
        <v>44834</v>
      </c>
      <c r="B4" t="s">
        <v>18</v>
      </c>
      <c r="C4" s="4" t="s">
        <v>19</v>
      </c>
      <c r="D4" s="4">
        <v>1</v>
      </c>
      <c r="E4" s="4" t="s">
        <v>22</v>
      </c>
      <c r="F4" s="3">
        <v>44894</v>
      </c>
      <c r="G4" t="s">
        <v>32</v>
      </c>
    </row>
    <row r="5" spans="1:8" x14ac:dyDescent="0.25">
      <c r="A5" s="3">
        <v>44834</v>
      </c>
      <c r="B5" t="s">
        <v>18</v>
      </c>
      <c r="C5" s="4" t="s">
        <v>19</v>
      </c>
      <c r="D5" s="4">
        <v>1</v>
      </c>
      <c r="E5" s="4" t="s">
        <v>23</v>
      </c>
      <c r="F5" s="3">
        <v>44894</v>
      </c>
      <c r="G5" t="s">
        <v>33</v>
      </c>
    </row>
    <row r="6" spans="1:8" x14ac:dyDescent="0.25">
      <c r="A6" s="3">
        <v>44834</v>
      </c>
      <c r="B6" t="s">
        <v>18</v>
      </c>
      <c r="C6" s="4" t="s">
        <v>19</v>
      </c>
      <c r="D6" s="4">
        <v>1</v>
      </c>
      <c r="E6" s="4" t="s">
        <v>24</v>
      </c>
      <c r="F6" s="3">
        <v>44894</v>
      </c>
      <c r="G6" t="s">
        <v>34</v>
      </c>
    </row>
    <row r="7" spans="1:8" x14ac:dyDescent="0.25">
      <c r="A7" s="3">
        <v>44834</v>
      </c>
      <c r="B7" t="s">
        <v>18</v>
      </c>
      <c r="C7" s="4" t="s">
        <v>19</v>
      </c>
      <c r="D7" s="4">
        <v>2</v>
      </c>
      <c r="E7" s="4" t="s">
        <v>20</v>
      </c>
      <c r="F7" s="3">
        <v>44894</v>
      </c>
      <c r="G7" t="s">
        <v>35</v>
      </c>
    </row>
    <row r="8" spans="1:8" x14ac:dyDescent="0.25">
      <c r="A8" s="3">
        <v>44834</v>
      </c>
      <c r="B8" t="s">
        <v>18</v>
      </c>
      <c r="C8" s="4" t="s">
        <v>19</v>
      </c>
      <c r="D8" s="4">
        <v>2</v>
      </c>
      <c r="E8" s="4" t="s">
        <v>21</v>
      </c>
      <c r="F8" s="3">
        <v>44894</v>
      </c>
      <c r="G8" t="s">
        <v>36</v>
      </c>
    </row>
    <row r="9" spans="1:8" x14ac:dyDescent="0.25">
      <c r="A9" s="3">
        <v>44834</v>
      </c>
      <c r="B9" t="s">
        <v>18</v>
      </c>
      <c r="C9" s="4" t="s">
        <v>19</v>
      </c>
      <c r="D9" s="4">
        <v>2</v>
      </c>
      <c r="E9" s="4" t="s">
        <v>22</v>
      </c>
      <c r="F9" s="3">
        <v>44894</v>
      </c>
      <c r="G9" t="s">
        <v>37</v>
      </c>
    </row>
    <row r="10" spans="1:8" x14ac:dyDescent="0.25">
      <c r="A10" s="3">
        <v>44834</v>
      </c>
      <c r="B10" t="s">
        <v>18</v>
      </c>
      <c r="C10" s="4" t="s">
        <v>19</v>
      </c>
      <c r="D10" s="4">
        <v>2</v>
      </c>
      <c r="E10" s="4" t="s">
        <v>23</v>
      </c>
      <c r="F10" s="3">
        <v>44894</v>
      </c>
      <c r="G10" t="s">
        <v>38</v>
      </c>
    </row>
    <row r="11" spans="1:8" x14ac:dyDescent="0.25">
      <c r="A11" s="3">
        <v>44834</v>
      </c>
      <c r="B11" t="s">
        <v>18</v>
      </c>
      <c r="C11" s="4" t="s">
        <v>19</v>
      </c>
      <c r="D11" s="4">
        <v>2</v>
      </c>
      <c r="E11" s="4" t="s">
        <v>24</v>
      </c>
      <c r="F11" s="3">
        <v>44894</v>
      </c>
      <c r="G11" t="s">
        <v>39</v>
      </c>
    </row>
    <row r="12" spans="1:8" x14ac:dyDescent="0.25">
      <c r="A12" s="3" t="s">
        <v>25</v>
      </c>
      <c r="B12" t="s">
        <v>9</v>
      </c>
      <c r="C12" s="4" t="s">
        <v>25</v>
      </c>
      <c r="D12" s="4" t="s">
        <v>25</v>
      </c>
      <c r="E12" s="4" t="s">
        <v>25</v>
      </c>
      <c r="F12" s="3">
        <v>44894</v>
      </c>
      <c r="G12" t="s">
        <v>40</v>
      </c>
    </row>
    <row r="13" spans="1:8" x14ac:dyDescent="0.25">
      <c r="A13" s="3" t="s">
        <v>25</v>
      </c>
      <c r="B13" t="s">
        <v>9</v>
      </c>
      <c r="C13" s="4" t="s">
        <v>25</v>
      </c>
      <c r="D13" s="4" t="s">
        <v>25</v>
      </c>
      <c r="E13" s="4" t="s">
        <v>25</v>
      </c>
      <c r="F13" s="3">
        <v>44894</v>
      </c>
      <c r="G13" t="s">
        <v>41</v>
      </c>
    </row>
    <row r="14" spans="1:8" x14ac:dyDescent="0.25">
      <c r="A14" s="3">
        <v>44834</v>
      </c>
      <c r="B14" t="s">
        <v>18</v>
      </c>
      <c r="C14" s="4" t="s">
        <v>19</v>
      </c>
      <c r="D14" s="4">
        <v>3</v>
      </c>
      <c r="E14" s="4" t="s">
        <v>20</v>
      </c>
      <c r="F14" s="3">
        <v>44894</v>
      </c>
      <c r="G14" t="s">
        <v>42</v>
      </c>
    </row>
    <row r="15" spans="1:8" x14ac:dyDescent="0.25">
      <c r="A15" s="3">
        <v>44834</v>
      </c>
      <c r="B15" t="s">
        <v>18</v>
      </c>
      <c r="C15" s="4" t="s">
        <v>19</v>
      </c>
      <c r="D15" s="4">
        <v>3</v>
      </c>
      <c r="E15" s="4" t="s">
        <v>21</v>
      </c>
      <c r="F15" s="3">
        <v>44894</v>
      </c>
      <c r="G15" t="s">
        <v>43</v>
      </c>
    </row>
    <row r="16" spans="1:8" x14ac:dyDescent="0.25">
      <c r="A16" s="3">
        <v>44834</v>
      </c>
      <c r="B16" t="s">
        <v>18</v>
      </c>
      <c r="C16" s="4" t="s">
        <v>19</v>
      </c>
      <c r="D16" s="4">
        <v>3</v>
      </c>
      <c r="E16" s="4" t="s">
        <v>22</v>
      </c>
      <c r="F16" s="3">
        <v>44894</v>
      </c>
      <c r="G16" t="s">
        <v>44</v>
      </c>
    </row>
    <row r="17" spans="1:8" x14ac:dyDescent="0.25">
      <c r="A17" s="3">
        <v>44834</v>
      </c>
      <c r="B17" t="s">
        <v>18</v>
      </c>
      <c r="C17" s="4" t="s">
        <v>19</v>
      </c>
      <c r="D17" s="4">
        <v>3</v>
      </c>
      <c r="E17" s="4" t="s">
        <v>23</v>
      </c>
      <c r="F17" s="3">
        <v>44894</v>
      </c>
      <c r="G17" t="s">
        <v>45</v>
      </c>
    </row>
    <row r="18" spans="1:8" x14ac:dyDescent="0.25">
      <c r="A18" s="3">
        <v>44834</v>
      </c>
      <c r="B18" t="s">
        <v>18</v>
      </c>
      <c r="C18" s="4" t="s">
        <v>19</v>
      </c>
      <c r="D18" s="4">
        <v>3</v>
      </c>
      <c r="E18" s="4" t="s">
        <v>24</v>
      </c>
      <c r="F18" s="3">
        <v>44894</v>
      </c>
      <c r="G18" t="s">
        <v>46</v>
      </c>
    </row>
    <row r="19" spans="1:8" x14ac:dyDescent="0.25">
      <c r="A19" s="3">
        <v>44834</v>
      </c>
      <c r="B19" t="s">
        <v>18</v>
      </c>
      <c r="C19" s="4" t="s">
        <v>19</v>
      </c>
      <c r="D19" s="4">
        <v>4</v>
      </c>
      <c r="E19" s="4" t="s">
        <v>20</v>
      </c>
      <c r="F19" s="3">
        <v>44894</v>
      </c>
      <c r="G19" t="s">
        <v>47</v>
      </c>
    </row>
    <row r="20" spans="1:8" x14ac:dyDescent="0.25">
      <c r="A20" s="3">
        <v>44834</v>
      </c>
      <c r="B20" t="s">
        <v>18</v>
      </c>
      <c r="C20" s="4" t="s">
        <v>19</v>
      </c>
      <c r="D20" s="4">
        <v>4</v>
      </c>
      <c r="E20" s="4" t="s">
        <v>21</v>
      </c>
      <c r="F20" s="3">
        <v>44894</v>
      </c>
      <c r="G20" t="s">
        <v>48</v>
      </c>
    </row>
    <row r="21" spans="1:8" x14ac:dyDescent="0.25">
      <c r="A21" s="3">
        <v>44834</v>
      </c>
      <c r="B21" t="s">
        <v>18</v>
      </c>
      <c r="C21" s="4" t="s">
        <v>19</v>
      </c>
      <c r="D21" s="4">
        <v>4</v>
      </c>
      <c r="E21" s="4" t="s">
        <v>22</v>
      </c>
      <c r="F21" s="3">
        <v>44894</v>
      </c>
      <c r="G21" t="s">
        <v>49</v>
      </c>
    </row>
    <row r="22" spans="1:8" x14ac:dyDescent="0.25">
      <c r="A22" s="3">
        <v>44834</v>
      </c>
      <c r="B22" t="s">
        <v>18</v>
      </c>
      <c r="C22" s="4" t="s">
        <v>19</v>
      </c>
      <c r="D22" s="4">
        <v>4</v>
      </c>
      <c r="E22" s="4" t="s">
        <v>23</v>
      </c>
      <c r="F22" s="3">
        <v>44894</v>
      </c>
      <c r="G22" t="s">
        <v>50</v>
      </c>
    </row>
    <row r="23" spans="1:8" x14ac:dyDescent="0.25">
      <c r="A23" s="3">
        <v>44834</v>
      </c>
      <c r="B23" t="s">
        <v>18</v>
      </c>
      <c r="C23" s="4" t="s">
        <v>19</v>
      </c>
      <c r="D23" s="4">
        <v>4</v>
      </c>
      <c r="E23" s="4" t="s">
        <v>24</v>
      </c>
      <c r="F23" s="3">
        <v>44894</v>
      </c>
      <c r="G23" t="s">
        <v>51</v>
      </c>
    </row>
    <row r="24" spans="1:8" x14ac:dyDescent="0.25">
      <c r="A24" t="s">
        <v>25</v>
      </c>
      <c r="B24" t="s">
        <v>9</v>
      </c>
      <c r="C24" s="4" t="s">
        <v>25</v>
      </c>
      <c r="D24" s="4" t="s">
        <v>25</v>
      </c>
      <c r="E24" s="4" t="s">
        <v>25</v>
      </c>
      <c r="F24" s="3">
        <v>44894</v>
      </c>
      <c r="G24" t="s">
        <v>52</v>
      </c>
    </row>
    <row r="25" spans="1:8" x14ac:dyDescent="0.25">
      <c r="A25" s="7">
        <v>44834</v>
      </c>
      <c r="B25" t="s">
        <v>18</v>
      </c>
      <c r="C25" s="4" t="s">
        <v>27</v>
      </c>
      <c r="D25" s="4">
        <v>1</v>
      </c>
      <c r="E25" s="4" t="s">
        <v>20</v>
      </c>
      <c r="F25" s="3">
        <v>44894</v>
      </c>
      <c r="G25" t="s">
        <v>53</v>
      </c>
    </row>
    <row r="26" spans="1:8" x14ac:dyDescent="0.25">
      <c r="A26" s="7">
        <v>44834</v>
      </c>
      <c r="B26" t="s">
        <v>18</v>
      </c>
      <c r="C26" s="4" t="s">
        <v>27</v>
      </c>
      <c r="D26" s="4">
        <v>1</v>
      </c>
      <c r="E26" s="4" t="s">
        <v>21</v>
      </c>
      <c r="F26" s="3">
        <v>44894</v>
      </c>
      <c r="G26" t="s">
        <v>54</v>
      </c>
      <c r="H26" s="4" t="s">
        <v>58</v>
      </c>
    </row>
    <row r="27" spans="1:8" x14ac:dyDescent="0.25">
      <c r="A27" s="7">
        <v>44834</v>
      </c>
      <c r="B27" t="s">
        <v>18</v>
      </c>
      <c r="C27" s="4" t="s">
        <v>27</v>
      </c>
      <c r="D27" s="4">
        <v>1</v>
      </c>
      <c r="E27" s="4" t="s">
        <v>22</v>
      </c>
      <c r="F27" s="3">
        <v>44894</v>
      </c>
      <c r="G27" t="s">
        <v>55</v>
      </c>
      <c r="H27" s="4" t="s">
        <v>58</v>
      </c>
    </row>
    <row r="28" spans="1:8" x14ac:dyDescent="0.25">
      <c r="A28" s="7">
        <v>44834</v>
      </c>
      <c r="B28" t="s">
        <v>18</v>
      </c>
      <c r="C28" s="4" t="s">
        <v>27</v>
      </c>
      <c r="D28" s="4">
        <v>1</v>
      </c>
      <c r="E28" s="4" t="s">
        <v>23</v>
      </c>
      <c r="F28" s="3">
        <v>44894</v>
      </c>
      <c r="G28" t="s">
        <v>56</v>
      </c>
      <c r="H28" s="4" t="s">
        <v>58</v>
      </c>
    </row>
    <row r="29" spans="1:8" x14ac:dyDescent="0.25">
      <c r="A29" s="7">
        <v>44834</v>
      </c>
      <c r="B29" t="s">
        <v>18</v>
      </c>
      <c r="C29" s="4" t="s">
        <v>27</v>
      </c>
      <c r="D29" s="4">
        <v>1</v>
      </c>
      <c r="E29" s="4" t="s">
        <v>24</v>
      </c>
      <c r="F29" s="3">
        <v>44894</v>
      </c>
      <c r="G29" t="s">
        <v>59</v>
      </c>
      <c r="H29" s="4" t="s">
        <v>58</v>
      </c>
    </row>
    <row r="30" spans="1:8" x14ac:dyDescent="0.25">
      <c r="A30" s="3" t="s">
        <v>25</v>
      </c>
      <c r="B30" t="s">
        <v>9</v>
      </c>
      <c r="C30" s="4" t="s">
        <v>25</v>
      </c>
      <c r="D30" s="4" t="s">
        <v>25</v>
      </c>
      <c r="E30" s="4" t="s">
        <v>25</v>
      </c>
      <c r="F30" s="3">
        <v>44895</v>
      </c>
      <c r="G30" t="s">
        <v>60</v>
      </c>
      <c r="H30" s="4"/>
    </row>
    <row r="31" spans="1:8" x14ac:dyDescent="0.25">
      <c r="A31" s="3" t="s">
        <v>25</v>
      </c>
      <c r="B31" t="s">
        <v>9</v>
      </c>
      <c r="C31" s="4" t="s">
        <v>25</v>
      </c>
      <c r="D31" s="4" t="s">
        <v>25</v>
      </c>
      <c r="E31" s="4" t="s">
        <v>25</v>
      </c>
      <c r="F31" s="3">
        <v>44895</v>
      </c>
      <c r="G31" t="s">
        <v>61</v>
      </c>
      <c r="H31" s="4"/>
    </row>
    <row r="32" spans="1:8" x14ac:dyDescent="0.25">
      <c r="A32" s="3" t="s">
        <v>25</v>
      </c>
      <c r="B32" t="s">
        <v>9</v>
      </c>
      <c r="C32" s="4" t="s">
        <v>25</v>
      </c>
      <c r="D32" s="4" t="s">
        <v>25</v>
      </c>
      <c r="E32" s="4" t="s">
        <v>25</v>
      </c>
      <c r="F32" s="3">
        <v>44895</v>
      </c>
      <c r="G32" t="s">
        <v>62</v>
      </c>
      <c r="H32" s="4"/>
    </row>
    <row r="33" spans="1:8" x14ac:dyDescent="0.25">
      <c r="A33" s="3" t="s">
        <v>25</v>
      </c>
      <c r="B33" t="s">
        <v>9</v>
      </c>
      <c r="C33" s="4" t="s">
        <v>25</v>
      </c>
      <c r="D33" s="4" t="s">
        <v>25</v>
      </c>
      <c r="E33" s="4" t="s">
        <v>25</v>
      </c>
      <c r="F33" s="3">
        <v>44895</v>
      </c>
      <c r="G33" t="s">
        <v>63</v>
      </c>
      <c r="H33" s="4"/>
    </row>
    <row r="34" spans="1:8" x14ac:dyDescent="0.25">
      <c r="A34" s="3" t="s">
        <v>25</v>
      </c>
      <c r="B34" t="s">
        <v>9</v>
      </c>
      <c r="C34" s="4" t="s">
        <v>25</v>
      </c>
      <c r="D34" s="4" t="s">
        <v>25</v>
      </c>
      <c r="E34" s="4" t="s">
        <v>25</v>
      </c>
      <c r="F34" s="3">
        <v>44895</v>
      </c>
      <c r="G34" t="s">
        <v>64</v>
      </c>
      <c r="H34" s="4"/>
    </row>
    <row r="35" spans="1:8" x14ac:dyDescent="0.25">
      <c r="A35" s="7">
        <v>44834</v>
      </c>
      <c r="B35" t="s">
        <v>18</v>
      </c>
      <c r="C35" s="4" t="s">
        <v>27</v>
      </c>
      <c r="D35" s="4">
        <v>2</v>
      </c>
      <c r="E35" s="4" t="s">
        <v>20</v>
      </c>
      <c r="F35" s="3">
        <v>44895</v>
      </c>
      <c r="G35" t="s">
        <v>65</v>
      </c>
    </row>
    <row r="36" spans="1:8" x14ac:dyDescent="0.25">
      <c r="A36" s="7">
        <v>44834</v>
      </c>
      <c r="B36" t="s">
        <v>18</v>
      </c>
      <c r="C36" s="4" t="s">
        <v>27</v>
      </c>
      <c r="D36" s="4">
        <v>2</v>
      </c>
      <c r="E36" s="4" t="s">
        <v>21</v>
      </c>
      <c r="F36" s="3">
        <v>44895</v>
      </c>
      <c r="G36" t="s">
        <v>66</v>
      </c>
    </row>
    <row r="37" spans="1:8" x14ac:dyDescent="0.25">
      <c r="A37" s="7">
        <v>44834</v>
      </c>
      <c r="B37" t="s">
        <v>18</v>
      </c>
      <c r="C37" s="4" t="s">
        <v>27</v>
      </c>
      <c r="D37" s="4">
        <v>2</v>
      </c>
      <c r="E37" s="4" t="s">
        <v>22</v>
      </c>
      <c r="F37" s="3">
        <v>44895</v>
      </c>
      <c r="G37" t="s">
        <v>67</v>
      </c>
    </row>
    <row r="38" spans="1:8" x14ac:dyDescent="0.25">
      <c r="A38" s="7">
        <v>44834</v>
      </c>
      <c r="B38" t="s">
        <v>18</v>
      </c>
      <c r="C38" s="4" t="s">
        <v>27</v>
      </c>
      <c r="D38" s="4">
        <v>2</v>
      </c>
      <c r="E38" s="4" t="s">
        <v>23</v>
      </c>
      <c r="F38" s="3">
        <v>44895</v>
      </c>
      <c r="G38" t="s">
        <v>68</v>
      </c>
    </row>
    <row r="39" spans="1:8" x14ac:dyDescent="0.25">
      <c r="A39" s="7">
        <v>44834</v>
      </c>
      <c r="B39" t="s">
        <v>18</v>
      </c>
      <c r="C39" s="4" t="s">
        <v>27</v>
      </c>
      <c r="D39" s="4">
        <v>2</v>
      </c>
      <c r="E39" s="4" t="s">
        <v>24</v>
      </c>
      <c r="F39" s="3">
        <v>44895</v>
      </c>
      <c r="G39" t="s">
        <v>69</v>
      </c>
    </row>
    <row r="40" spans="1:8" x14ac:dyDescent="0.25">
      <c r="A40" s="7">
        <v>44834</v>
      </c>
      <c r="B40" t="s">
        <v>18</v>
      </c>
      <c r="C40" s="4" t="s">
        <v>27</v>
      </c>
      <c r="D40" s="4">
        <v>3</v>
      </c>
      <c r="E40" s="4" t="s">
        <v>20</v>
      </c>
      <c r="F40" s="3">
        <v>44895</v>
      </c>
      <c r="G40" t="s">
        <v>70</v>
      </c>
    </row>
    <row r="41" spans="1:8" x14ac:dyDescent="0.25">
      <c r="A41" s="7">
        <v>44834</v>
      </c>
      <c r="B41" t="s">
        <v>18</v>
      </c>
      <c r="C41" s="4" t="s">
        <v>27</v>
      </c>
      <c r="D41" s="4">
        <v>3</v>
      </c>
      <c r="E41" s="4" t="s">
        <v>21</v>
      </c>
      <c r="F41" s="3">
        <v>44895</v>
      </c>
      <c r="G41" t="s">
        <v>71</v>
      </c>
    </row>
    <row r="42" spans="1:8" x14ac:dyDescent="0.25">
      <c r="A42" s="7">
        <v>44834</v>
      </c>
      <c r="B42" t="s">
        <v>18</v>
      </c>
      <c r="C42" s="4" t="s">
        <v>27</v>
      </c>
      <c r="D42" s="4">
        <v>3</v>
      </c>
      <c r="E42" s="4" t="s">
        <v>22</v>
      </c>
      <c r="F42" s="3">
        <v>44895</v>
      </c>
      <c r="G42" t="s">
        <v>72</v>
      </c>
    </row>
    <row r="43" spans="1:8" x14ac:dyDescent="0.25">
      <c r="A43" s="7">
        <v>44834</v>
      </c>
      <c r="B43" t="s">
        <v>18</v>
      </c>
      <c r="C43" s="4" t="s">
        <v>27</v>
      </c>
      <c r="D43" s="4">
        <v>3</v>
      </c>
      <c r="E43" s="4" t="s">
        <v>23</v>
      </c>
      <c r="F43" s="3">
        <v>44895</v>
      </c>
      <c r="G43" t="s">
        <v>73</v>
      </c>
    </row>
    <row r="44" spans="1:8" x14ac:dyDescent="0.25">
      <c r="A44" s="7">
        <v>44834</v>
      </c>
      <c r="B44" t="s">
        <v>18</v>
      </c>
      <c r="C44" s="4" t="s">
        <v>27</v>
      </c>
      <c r="D44" s="4">
        <v>3</v>
      </c>
      <c r="E44" s="4" t="s">
        <v>24</v>
      </c>
      <c r="F44" s="3">
        <v>44895</v>
      </c>
      <c r="G44" t="s">
        <v>74</v>
      </c>
    </row>
    <row r="45" spans="1:8" x14ac:dyDescent="0.25">
      <c r="A45" s="3" t="s">
        <v>25</v>
      </c>
      <c r="B45" t="s">
        <v>9</v>
      </c>
      <c r="C45" s="4" t="s">
        <v>25</v>
      </c>
      <c r="D45" s="4" t="s">
        <v>25</v>
      </c>
      <c r="E45" s="4" t="s">
        <v>25</v>
      </c>
      <c r="F45" s="3">
        <v>44895</v>
      </c>
      <c r="G45" t="s">
        <v>75</v>
      </c>
    </row>
    <row r="46" spans="1:8" x14ac:dyDescent="0.25">
      <c r="A46" s="7">
        <v>44834</v>
      </c>
      <c r="B46" t="s">
        <v>18</v>
      </c>
      <c r="C46" s="4" t="s">
        <v>27</v>
      </c>
      <c r="D46" s="4">
        <v>4</v>
      </c>
      <c r="E46" s="4" t="s">
        <v>20</v>
      </c>
      <c r="F46" s="3">
        <v>44895</v>
      </c>
      <c r="G46" t="s">
        <v>76</v>
      </c>
    </row>
    <row r="47" spans="1:8" x14ac:dyDescent="0.25">
      <c r="A47" s="7">
        <v>44834</v>
      </c>
      <c r="B47" t="s">
        <v>18</v>
      </c>
      <c r="C47" s="4" t="s">
        <v>27</v>
      </c>
      <c r="D47" s="4">
        <v>4</v>
      </c>
      <c r="E47" s="4" t="s">
        <v>21</v>
      </c>
      <c r="F47" s="3">
        <v>44895</v>
      </c>
      <c r="G47" t="s">
        <v>77</v>
      </c>
    </row>
    <row r="48" spans="1:8" x14ac:dyDescent="0.25">
      <c r="A48" s="7">
        <v>44834</v>
      </c>
      <c r="B48" t="s">
        <v>18</v>
      </c>
      <c r="C48" s="4" t="s">
        <v>27</v>
      </c>
      <c r="D48" s="4">
        <v>4</v>
      </c>
      <c r="E48" s="4" t="s">
        <v>22</v>
      </c>
      <c r="F48" s="3">
        <v>44895</v>
      </c>
      <c r="G48" t="s">
        <v>78</v>
      </c>
    </row>
    <row r="49" spans="1:7" x14ac:dyDescent="0.25">
      <c r="A49" s="7">
        <v>44834</v>
      </c>
      <c r="B49" t="s">
        <v>18</v>
      </c>
      <c r="C49" s="4" t="s">
        <v>27</v>
      </c>
      <c r="D49" s="4">
        <v>4</v>
      </c>
      <c r="E49" s="4" t="s">
        <v>23</v>
      </c>
      <c r="F49" s="3">
        <v>44895</v>
      </c>
      <c r="G49" t="s">
        <v>79</v>
      </c>
    </row>
    <row r="50" spans="1:7" x14ac:dyDescent="0.25">
      <c r="A50" s="7">
        <v>44834</v>
      </c>
      <c r="B50" t="s">
        <v>18</v>
      </c>
      <c r="C50" s="4" t="s">
        <v>27</v>
      </c>
      <c r="D50" s="4">
        <v>4</v>
      </c>
      <c r="E50" s="4" t="s">
        <v>24</v>
      </c>
      <c r="F50" s="3">
        <v>44895</v>
      </c>
      <c r="G50" t="s">
        <v>80</v>
      </c>
    </row>
    <row r="51" spans="1:7" x14ac:dyDescent="0.25">
      <c r="A51" s="7">
        <v>44834</v>
      </c>
      <c r="B51" t="s">
        <v>18</v>
      </c>
      <c r="C51" s="4" t="s">
        <v>28</v>
      </c>
      <c r="D51" s="4">
        <v>1</v>
      </c>
      <c r="E51" s="4" t="s">
        <v>20</v>
      </c>
      <c r="F51" s="3">
        <v>44895</v>
      </c>
      <c r="G51" t="s">
        <v>81</v>
      </c>
    </row>
    <row r="52" spans="1:7" x14ac:dyDescent="0.25">
      <c r="A52" s="7">
        <v>44834</v>
      </c>
      <c r="B52" t="s">
        <v>18</v>
      </c>
      <c r="C52" s="4" t="s">
        <v>28</v>
      </c>
      <c r="D52" s="4">
        <v>1</v>
      </c>
      <c r="E52" s="4" t="s">
        <v>21</v>
      </c>
      <c r="F52" s="3">
        <v>44895</v>
      </c>
      <c r="G52" t="s">
        <v>82</v>
      </c>
    </row>
    <row r="53" spans="1:7" x14ac:dyDescent="0.25">
      <c r="A53" s="7">
        <v>44834</v>
      </c>
      <c r="B53" t="s">
        <v>18</v>
      </c>
      <c r="C53" s="4" t="s">
        <v>28</v>
      </c>
      <c r="D53" s="4">
        <v>1</v>
      </c>
      <c r="E53" s="4" t="s">
        <v>22</v>
      </c>
      <c r="F53" s="3">
        <v>44895</v>
      </c>
      <c r="G53" t="s">
        <v>83</v>
      </c>
    </row>
    <row r="54" spans="1:7" x14ac:dyDescent="0.25">
      <c r="A54" s="7">
        <v>44834</v>
      </c>
      <c r="B54" t="s">
        <v>18</v>
      </c>
      <c r="C54" s="4" t="s">
        <v>28</v>
      </c>
      <c r="D54" s="4">
        <v>1</v>
      </c>
      <c r="E54" s="4" t="s">
        <v>23</v>
      </c>
      <c r="F54" s="3">
        <v>44895</v>
      </c>
      <c r="G54" t="s">
        <v>84</v>
      </c>
    </row>
    <row r="55" spans="1:7" x14ac:dyDescent="0.25">
      <c r="A55" s="7">
        <v>44834</v>
      </c>
      <c r="B55" t="s">
        <v>18</v>
      </c>
      <c r="C55" s="4" t="s">
        <v>28</v>
      </c>
      <c r="D55" s="4">
        <v>1</v>
      </c>
      <c r="E55" s="4" t="s">
        <v>24</v>
      </c>
      <c r="F55" s="3">
        <v>44895</v>
      </c>
      <c r="G55" t="s">
        <v>85</v>
      </c>
    </row>
    <row r="56" spans="1:7" x14ac:dyDescent="0.25">
      <c r="A56" t="s">
        <v>25</v>
      </c>
      <c r="B56" t="s">
        <v>9</v>
      </c>
      <c r="C56" s="4" t="s">
        <v>25</v>
      </c>
      <c r="D56" s="4" t="s">
        <v>25</v>
      </c>
      <c r="E56" s="4" t="s">
        <v>25</v>
      </c>
      <c r="F56" s="3">
        <v>44895</v>
      </c>
      <c r="G56" t="s">
        <v>86</v>
      </c>
    </row>
    <row r="57" spans="1:7" x14ac:dyDescent="0.25">
      <c r="A57" s="7">
        <v>44834</v>
      </c>
      <c r="B57" t="s">
        <v>18</v>
      </c>
      <c r="C57" s="4" t="s">
        <v>28</v>
      </c>
      <c r="D57" s="4">
        <v>2</v>
      </c>
      <c r="E57" s="4" t="s">
        <v>20</v>
      </c>
      <c r="F57" s="3">
        <v>44895</v>
      </c>
      <c r="G57" t="s">
        <v>87</v>
      </c>
    </row>
    <row r="58" spans="1:7" x14ac:dyDescent="0.25">
      <c r="A58" s="7">
        <v>44834</v>
      </c>
      <c r="B58" t="s">
        <v>18</v>
      </c>
      <c r="C58" s="4" t="s">
        <v>28</v>
      </c>
      <c r="D58" s="4">
        <v>2</v>
      </c>
      <c r="E58" s="4" t="s">
        <v>21</v>
      </c>
      <c r="F58" s="3">
        <v>44895</v>
      </c>
      <c r="G58" t="s">
        <v>88</v>
      </c>
    </row>
    <row r="59" spans="1:7" x14ac:dyDescent="0.25">
      <c r="A59" s="7">
        <v>44834</v>
      </c>
      <c r="B59" t="s">
        <v>18</v>
      </c>
      <c r="C59" s="4" t="s">
        <v>28</v>
      </c>
      <c r="D59" s="4">
        <v>2</v>
      </c>
      <c r="E59" s="4" t="s">
        <v>22</v>
      </c>
      <c r="F59" s="3">
        <v>44895</v>
      </c>
      <c r="G59" t="s">
        <v>89</v>
      </c>
    </row>
    <row r="60" spans="1:7" x14ac:dyDescent="0.25">
      <c r="A60" s="7">
        <v>44834</v>
      </c>
      <c r="B60" t="s">
        <v>18</v>
      </c>
      <c r="C60" s="4" t="s">
        <v>28</v>
      </c>
      <c r="D60" s="4">
        <v>2</v>
      </c>
      <c r="E60" s="4" t="s">
        <v>23</v>
      </c>
      <c r="F60" s="3">
        <v>44895</v>
      </c>
      <c r="G60" t="s">
        <v>90</v>
      </c>
    </row>
    <row r="61" spans="1:7" x14ac:dyDescent="0.25">
      <c r="A61" s="7">
        <v>44834</v>
      </c>
      <c r="B61" t="s">
        <v>18</v>
      </c>
      <c r="C61" s="4" t="s">
        <v>28</v>
      </c>
      <c r="D61" s="4">
        <v>2</v>
      </c>
      <c r="E61" s="4" t="s">
        <v>24</v>
      </c>
      <c r="F61" s="3">
        <v>44895</v>
      </c>
      <c r="G61" t="s">
        <v>91</v>
      </c>
    </row>
    <row r="62" spans="1:7" ht="14.25" customHeight="1" x14ac:dyDescent="0.25">
      <c r="A62" s="7">
        <v>44834</v>
      </c>
      <c r="B62" t="s">
        <v>18</v>
      </c>
      <c r="C62" s="4" t="s">
        <v>28</v>
      </c>
      <c r="D62" s="4">
        <v>3</v>
      </c>
      <c r="E62" s="4" t="s">
        <v>20</v>
      </c>
      <c r="F62" s="3">
        <v>44896</v>
      </c>
      <c r="G62" s="5" t="s">
        <v>98</v>
      </c>
    </row>
    <row r="63" spans="1:7" x14ac:dyDescent="0.25">
      <c r="A63" s="7">
        <v>44834</v>
      </c>
      <c r="B63" t="s">
        <v>18</v>
      </c>
      <c r="C63" s="4" t="s">
        <v>28</v>
      </c>
      <c r="D63" s="4">
        <v>3</v>
      </c>
      <c r="E63" s="4" t="s">
        <v>21</v>
      </c>
      <c r="F63" s="3">
        <v>44896</v>
      </c>
      <c r="G63" s="5" t="s">
        <v>99</v>
      </c>
    </row>
    <row r="64" spans="1:7" x14ac:dyDescent="0.25">
      <c r="A64" s="7">
        <v>44834</v>
      </c>
      <c r="B64" t="s">
        <v>18</v>
      </c>
      <c r="C64" s="4" t="s">
        <v>28</v>
      </c>
      <c r="D64" s="4">
        <v>3</v>
      </c>
      <c r="E64" s="4" t="s">
        <v>22</v>
      </c>
      <c r="F64" s="3">
        <v>44896</v>
      </c>
      <c r="G64" s="5" t="s">
        <v>100</v>
      </c>
    </row>
    <row r="65" spans="1:8" x14ac:dyDescent="0.25">
      <c r="A65" s="7">
        <v>44834</v>
      </c>
      <c r="B65" t="s">
        <v>18</v>
      </c>
      <c r="C65" s="4" t="s">
        <v>28</v>
      </c>
      <c r="D65" s="4">
        <v>3</v>
      </c>
      <c r="E65" s="4" t="s">
        <v>23</v>
      </c>
      <c r="F65" s="3">
        <v>44896</v>
      </c>
      <c r="G65" s="5" t="s">
        <v>101</v>
      </c>
    </row>
    <row r="66" spans="1:8" x14ac:dyDescent="0.25">
      <c r="A66" s="7">
        <v>44834</v>
      </c>
      <c r="B66" t="s">
        <v>18</v>
      </c>
      <c r="C66" s="4" t="s">
        <v>28</v>
      </c>
      <c r="D66" s="4">
        <v>3</v>
      </c>
      <c r="E66" s="4" t="s">
        <v>24</v>
      </c>
      <c r="F66" s="3">
        <v>44896</v>
      </c>
      <c r="G66" s="5" t="s">
        <v>102</v>
      </c>
    </row>
    <row r="67" spans="1:8" x14ac:dyDescent="0.25">
      <c r="A67" t="s">
        <v>25</v>
      </c>
      <c r="B67" t="s">
        <v>9</v>
      </c>
      <c r="C67" s="4" t="s">
        <v>25</v>
      </c>
      <c r="D67" s="4" t="s">
        <v>25</v>
      </c>
      <c r="E67" s="4" t="s">
        <v>25</v>
      </c>
      <c r="F67" s="3">
        <v>44896</v>
      </c>
      <c r="G67" s="5" t="s">
        <v>103</v>
      </c>
    </row>
    <row r="68" spans="1:8" x14ac:dyDescent="0.25">
      <c r="A68" s="7">
        <v>44834</v>
      </c>
      <c r="B68" t="s">
        <v>18</v>
      </c>
      <c r="C68" s="4" t="s">
        <v>28</v>
      </c>
      <c r="D68" s="4">
        <v>4</v>
      </c>
      <c r="E68" s="4" t="s">
        <v>20</v>
      </c>
      <c r="F68" s="3">
        <v>44896</v>
      </c>
      <c r="G68" s="5" t="s">
        <v>104</v>
      </c>
    </row>
    <row r="69" spans="1:8" x14ac:dyDescent="0.25">
      <c r="A69" s="7">
        <v>44834</v>
      </c>
      <c r="B69" t="s">
        <v>18</v>
      </c>
      <c r="C69" s="4" t="s">
        <v>28</v>
      </c>
      <c r="D69" s="4">
        <v>4</v>
      </c>
      <c r="E69" s="4" t="s">
        <v>21</v>
      </c>
      <c r="F69" s="3">
        <v>44896</v>
      </c>
      <c r="G69" s="5" t="s">
        <v>105</v>
      </c>
    </row>
    <row r="70" spans="1:8" x14ac:dyDescent="0.25">
      <c r="A70" s="7">
        <v>44834</v>
      </c>
      <c r="B70" t="s">
        <v>18</v>
      </c>
      <c r="C70" s="4" t="s">
        <v>28</v>
      </c>
      <c r="D70" s="4">
        <v>4</v>
      </c>
      <c r="E70" s="4" t="s">
        <v>22</v>
      </c>
      <c r="F70" s="3">
        <v>44896</v>
      </c>
      <c r="G70" s="5" t="s">
        <v>106</v>
      </c>
    </row>
    <row r="71" spans="1:8" x14ac:dyDescent="0.25">
      <c r="A71" s="7">
        <v>44834</v>
      </c>
      <c r="B71" t="s">
        <v>18</v>
      </c>
      <c r="C71" s="4" t="s">
        <v>28</v>
      </c>
      <c r="D71" s="4">
        <v>4</v>
      </c>
      <c r="E71" s="4" t="s">
        <v>23</v>
      </c>
      <c r="F71" s="3">
        <v>44896</v>
      </c>
      <c r="G71" s="5" t="s">
        <v>107</v>
      </c>
    </row>
    <row r="72" spans="1:8" x14ac:dyDescent="0.25">
      <c r="A72" s="7">
        <v>44834</v>
      </c>
      <c r="B72" t="s">
        <v>18</v>
      </c>
      <c r="C72" s="4" t="s">
        <v>28</v>
      </c>
      <c r="D72" s="4">
        <v>4</v>
      </c>
      <c r="E72" s="4" t="s">
        <v>24</v>
      </c>
      <c r="F72" s="3">
        <v>44896</v>
      </c>
      <c r="G72" s="5" t="s">
        <v>108</v>
      </c>
    </row>
    <row r="73" spans="1:8" x14ac:dyDescent="0.25">
      <c r="A73" t="s">
        <v>25</v>
      </c>
      <c r="B73" t="s">
        <v>9</v>
      </c>
      <c r="C73" s="4" t="s">
        <v>25</v>
      </c>
      <c r="D73" s="4" t="s">
        <v>25</v>
      </c>
      <c r="E73" s="4" t="s">
        <v>25</v>
      </c>
      <c r="F73" s="3">
        <v>44897</v>
      </c>
      <c r="G73" s="5" t="s">
        <v>109</v>
      </c>
    </row>
    <row r="74" spans="1:8" x14ac:dyDescent="0.25">
      <c r="A74" t="s">
        <v>25</v>
      </c>
      <c r="B74" t="s">
        <v>9</v>
      </c>
      <c r="C74" s="4" t="s">
        <v>25</v>
      </c>
      <c r="D74" s="4" t="s">
        <v>25</v>
      </c>
      <c r="E74" s="4" t="s">
        <v>25</v>
      </c>
      <c r="F74" s="3">
        <v>44897</v>
      </c>
      <c r="G74" s="5" t="s">
        <v>110</v>
      </c>
    </row>
    <row r="75" spans="1:8" x14ac:dyDescent="0.25">
      <c r="A75" t="s">
        <v>25</v>
      </c>
      <c r="B75" t="s">
        <v>9</v>
      </c>
      <c r="C75" s="4" t="s">
        <v>25</v>
      </c>
      <c r="D75" s="4" t="s">
        <v>25</v>
      </c>
      <c r="E75" s="4" t="s">
        <v>25</v>
      </c>
      <c r="F75" s="3">
        <v>44897</v>
      </c>
      <c r="G75" s="5" t="s">
        <v>111</v>
      </c>
    </row>
    <row r="76" spans="1:8" x14ac:dyDescent="0.25">
      <c r="A76" t="s">
        <v>25</v>
      </c>
      <c r="B76" t="s">
        <v>9</v>
      </c>
      <c r="C76" s="4" t="s">
        <v>25</v>
      </c>
      <c r="D76" s="4" t="s">
        <v>25</v>
      </c>
      <c r="E76" s="4" t="s">
        <v>25</v>
      </c>
      <c r="F76" s="3">
        <v>44897</v>
      </c>
      <c r="G76" s="5" t="s">
        <v>112</v>
      </c>
    </row>
    <row r="77" spans="1:8" x14ac:dyDescent="0.25">
      <c r="A77" t="s">
        <v>25</v>
      </c>
      <c r="B77" t="s">
        <v>9</v>
      </c>
      <c r="C77" s="4" t="s">
        <v>25</v>
      </c>
      <c r="D77" s="4" t="s">
        <v>25</v>
      </c>
      <c r="E77" s="4" t="s">
        <v>25</v>
      </c>
      <c r="F77" s="3">
        <v>44897</v>
      </c>
      <c r="G77" s="5" t="s">
        <v>113</v>
      </c>
    </row>
    <row r="78" spans="1:8" x14ac:dyDescent="0.25">
      <c r="A78" s="7">
        <v>44834</v>
      </c>
      <c r="B78" t="s">
        <v>18</v>
      </c>
      <c r="C78" s="4" t="s">
        <v>29</v>
      </c>
      <c r="D78" s="4">
        <v>1</v>
      </c>
      <c r="E78" s="4" t="s">
        <v>20</v>
      </c>
      <c r="F78" s="3">
        <v>44897</v>
      </c>
      <c r="G78" s="5"/>
      <c r="H78" s="11" t="s">
        <v>133</v>
      </c>
    </row>
    <row r="79" spans="1:8" x14ac:dyDescent="0.25">
      <c r="A79" s="7">
        <v>44834</v>
      </c>
      <c r="B79" t="s">
        <v>18</v>
      </c>
      <c r="C79" s="4" t="s">
        <v>29</v>
      </c>
      <c r="D79" s="4">
        <v>1</v>
      </c>
      <c r="E79" s="4" t="s">
        <v>21</v>
      </c>
      <c r="F79" s="3">
        <v>44897</v>
      </c>
      <c r="G79" s="5" t="s">
        <v>114</v>
      </c>
    </row>
    <row r="80" spans="1:8" x14ac:dyDescent="0.25">
      <c r="A80" s="7">
        <v>44834</v>
      </c>
      <c r="B80" t="s">
        <v>18</v>
      </c>
      <c r="C80" s="4" t="s">
        <v>29</v>
      </c>
      <c r="D80" s="4">
        <v>1</v>
      </c>
      <c r="E80" s="4" t="s">
        <v>22</v>
      </c>
      <c r="F80" s="3">
        <v>44897</v>
      </c>
      <c r="G80" s="5" t="s">
        <v>115</v>
      </c>
    </row>
    <row r="81" spans="1:8" x14ac:dyDescent="0.25">
      <c r="A81" s="7">
        <v>44834</v>
      </c>
      <c r="B81" t="s">
        <v>18</v>
      </c>
      <c r="C81" s="4" t="s">
        <v>29</v>
      </c>
      <c r="D81" s="4">
        <v>1</v>
      </c>
      <c r="E81" s="4" t="s">
        <v>23</v>
      </c>
      <c r="F81" s="3">
        <v>44897</v>
      </c>
      <c r="G81" s="5" t="s">
        <v>116</v>
      </c>
    </row>
    <row r="82" spans="1:8" x14ac:dyDescent="0.25">
      <c r="A82" s="7">
        <v>44834</v>
      </c>
      <c r="B82" t="s">
        <v>18</v>
      </c>
      <c r="C82" s="4" t="s">
        <v>29</v>
      </c>
      <c r="D82" s="4">
        <v>1</v>
      </c>
      <c r="E82" s="4" t="s">
        <v>24</v>
      </c>
      <c r="F82" s="3">
        <v>44897</v>
      </c>
      <c r="G82" s="5" t="s">
        <v>117</v>
      </c>
    </row>
    <row r="83" spans="1:8" x14ac:dyDescent="0.25">
      <c r="A83" s="7">
        <v>44834</v>
      </c>
      <c r="B83" t="s">
        <v>18</v>
      </c>
      <c r="C83" s="4" t="s">
        <v>29</v>
      </c>
      <c r="D83" s="4">
        <v>2</v>
      </c>
      <c r="E83" s="4" t="s">
        <v>20</v>
      </c>
      <c r="F83" s="3">
        <v>44897</v>
      </c>
      <c r="G83" s="5"/>
      <c r="H83" s="11" t="s">
        <v>133</v>
      </c>
    </row>
    <row r="84" spans="1:8" x14ac:dyDescent="0.25">
      <c r="A84" s="7">
        <v>44834</v>
      </c>
      <c r="B84" t="s">
        <v>18</v>
      </c>
      <c r="C84" s="4" t="s">
        <v>29</v>
      </c>
      <c r="D84" s="4">
        <v>2</v>
      </c>
      <c r="E84" s="4" t="s">
        <v>21</v>
      </c>
      <c r="F84" s="3">
        <v>44897</v>
      </c>
      <c r="G84" s="5" t="s">
        <v>118</v>
      </c>
    </row>
    <row r="85" spans="1:8" x14ac:dyDescent="0.25">
      <c r="A85" s="7">
        <v>44834</v>
      </c>
      <c r="B85" t="s">
        <v>18</v>
      </c>
      <c r="C85" s="4" t="s">
        <v>29</v>
      </c>
      <c r="D85" s="4">
        <v>2</v>
      </c>
      <c r="E85" s="4" t="s">
        <v>22</v>
      </c>
      <c r="F85" s="3">
        <v>44897</v>
      </c>
      <c r="G85" s="5" t="s">
        <v>119</v>
      </c>
    </row>
    <row r="86" spans="1:8" x14ac:dyDescent="0.25">
      <c r="A86" s="7">
        <v>44834</v>
      </c>
      <c r="B86" t="s">
        <v>18</v>
      </c>
      <c r="C86" s="4" t="s">
        <v>29</v>
      </c>
      <c r="D86" s="4">
        <v>2</v>
      </c>
      <c r="E86" s="4" t="s">
        <v>23</v>
      </c>
      <c r="F86" s="3">
        <v>44897</v>
      </c>
      <c r="G86" s="5" t="s">
        <v>120</v>
      </c>
    </row>
    <row r="87" spans="1:8" x14ac:dyDescent="0.25">
      <c r="A87" s="7">
        <v>44834</v>
      </c>
      <c r="B87" t="s">
        <v>18</v>
      </c>
      <c r="C87" s="4" t="s">
        <v>29</v>
      </c>
      <c r="D87" s="4">
        <v>2</v>
      </c>
      <c r="E87" s="4" t="s">
        <v>24</v>
      </c>
      <c r="F87" s="3">
        <v>44897</v>
      </c>
      <c r="G87" s="5" t="s">
        <v>121</v>
      </c>
    </row>
    <row r="88" spans="1:8" x14ac:dyDescent="0.25">
      <c r="A88" t="s">
        <v>25</v>
      </c>
      <c r="B88" t="s">
        <v>9</v>
      </c>
      <c r="C88" s="4" t="s">
        <v>25</v>
      </c>
      <c r="D88" s="4" t="s">
        <v>25</v>
      </c>
      <c r="E88" s="4" t="s">
        <v>25</v>
      </c>
      <c r="F88" s="3">
        <v>44897</v>
      </c>
      <c r="G88" s="5" t="s">
        <v>122</v>
      </c>
    </row>
    <row r="89" spans="1:8" x14ac:dyDescent="0.25">
      <c r="A89" s="7">
        <v>44834</v>
      </c>
      <c r="B89" t="s">
        <v>18</v>
      </c>
      <c r="C89" s="4" t="s">
        <v>29</v>
      </c>
      <c r="D89" s="4">
        <v>3</v>
      </c>
      <c r="E89" s="4" t="s">
        <v>20</v>
      </c>
      <c r="F89" s="3">
        <v>44897</v>
      </c>
      <c r="G89" s="5"/>
      <c r="H89" s="11" t="s">
        <v>133</v>
      </c>
    </row>
    <row r="90" spans="1:8" x14ac:dyDescent="0.25">
      <c r="A90" s="7">
        <v>44834</v>
      </c>
      <c r="B90" t="s">
        <v>18</v>
      </c>
      <c r="C90" s="4" t="s">
        <v>29</v>
      </c>
      <c r="D90" s="4">
        <v>3</v>
      </c>
      <c r="E90" s="4" t="s">
        <v>21</v>
      </c>
      <c r="F90" s="3">
        <v>44897</v>
      </c>
      <c r="G90" s="5" t="s">
        <v>123</v>
      </c>
    </row>
    <row r="91" spans="1:8" x14ac:dyDescent="0.25">
      <c r="A91" s="7">
        <v>44834</v>
      </c>
      <c r="B91" t="s">
        <v>18</v>
      </c>
      <c r="C91" s="4" t="s">
        <v>29</v>
      </c>
      <c r="D91" s="4">
        <v>3</v>
      </c>
      <c r="E91" s="4" t="s">
        <v>22</v>
      </c>
      <c r="F91" s="3">
        <v>44897</v>
      </c>
      <c r="G91" s="5" t="s">
        <v>124</v>
      </c>
    </row>
    <row r="92" spans="1:8" x14ac:dyDescent="0.25">
      <c r="A92" s="7">
        <v>44834</v>
      </c>
      <c r="B92" t="s">
        <v>18</v>
      </c>
      <c r="C92" s="4" t="s">
        <v>29</v>
      </c>
      <c r="D92" s="4">
        <v>3</v>
      </c>
      <c r="E92" s="4" t="s">
        <v>23</v>
      </c>
      <c r="F92" s="3">
        <v>44897</v>
      </c>
      <c r="G92" s="5" t="s">
        <v>125</v>
      </c>
    </row>
    <row r="93" spans="1:8" x14ac:dyDescent="0.25">
      <c r="A93" s="7">
        <v>44834</v>
      </c>
      <c r="B93" t="s">
        <v>18</v>
      </c>
      <c r="C93" s="4" t="s">
        <v>29</v>
      </c>
      <c r="D93" s="4">
        <v>3</v>
      </c>
      <c r="E93" s="4" t="s">
        <v>24</v>
      </c>
      <c r="F93" s="3">
        <v>44897</v>
      </c>
      <c r="G93" s="5" t="s">
        <v>126</v>
      </c>
    </row>
    <row r="94" spans="1:8" x14ac:dyDescent="0.25">
      <c r="A94" s="7">
        <v>44834</v>
      </c>
      <c r="B94" t="s">
        <v>18</v>
      </c>
      <c r="C94" s="4" t="s">
        <v>29</v>
      </c>
      <c r="D94" s="4">
        <v>4</v>
      </c>
      <c r="E94" s="4" t="s">
        <v>20</v>
      </c>
      <c r="F94" s="3">
        <v>44897</v>
      </c>
      <c r="G94" s="5" t="s">
        <v>127</v>
      </c>
    </row>
    <row r="95" spans="1:8" x14ac:dyDescent="0.25">
      <c r="A95" s="7">
        <v>44834</v>
      </c>
      <c r="B95" t="s">
        <v>18</v>
      </c>
      <c r="C95" s="4" t="s">
        <v>29</v>
      </c>
      <c r="D95" s="4">
        <v>4</v>
      </c>
      <c r="E95" s="4" t="s">
        <v>21</v>
      </c>
      <c r="F95" s="3">
        <v>44897</v>
      </c>
      <c r="G95" s="5" t="s">
        <v>128</v>
      </c>
    </row>
    <row r="96" spans="1:8" x14ac:dyDescent="0.25">
      <c r="A96" s="7">
        <v>44834</v>
      </c>
      <c r="B96" t="s">
        <v>18</v>
      </c>
      <c r="C96" s="4" t="s">
        <v>29</v>
      </c>
      <c r="D96" s="4">
        <v>4</v>
      </c>
      <c r="E96" s="4" t="s">
        <v>22</v>
      </c>
      <c r="F96" s="3">
        <v>44897</v>
      </c>
      <c r="G96" s="5" t="s">
        <v>129</v>
      </c>
    </row>
    <row r="97" spans="1:7" x14ac:dyDescent="0.25">
      <c r="A97" s="7">
        <v>44834</v>
      </c>
      <c r="B97" t="s">
        <v>18</v>
      </c>
      <c r="C97" s="4" t="s">
        <v>29</v>
      </c>
      <c r="D97" s="4">
        <v>4</v>
      </c>
      <c r="E97" s="4" t="s">
        <v>23</v>
      </c>
      <c r="F97" s="3">
        <v>44897</v>
      </c>
      <c r="G97" s="5" t="s">
        <v>130</v>
      </c>
    </row>
    <row r="98" spans="1:7" x14ac:dyDescent="0.25">
      <c r="A98" s="7">
        <v>44834</v>
      </c>
      <c r="B98" t="s">
        <v>18</v>
      </c>
      <c r="C98" s="4" t="s">
        <v>29</v>
      </c>
      <c r="D98" s="4">
        <v>4</v>
      </c>
      <c r="E98" s="4" t="s">
        <v>24</v>
      </c>
      <c r="F98" s="3">
        <v>44897</v>
      </c>
      <c r="G98" s="5" t="s">
        <v>131</v>
      </c>
    </row>
    <row r="99" spans="1:7" x14ac:dyDescent="0.25">
      <c r="F99" s="3"/>
    </row>
    <row r="100" spans="1:7" x14ac:dyDescent="0.25">
      <c r="F100" s="3"/>
    </row>
    <row r="101" spans="1:7" x14ac:dyDescent="0.25">
      <c r="F101" s="3"/>
    </row>
    <row r="102" spans="1:7" x14ac:dyDescent="0.25">
      <c r="F102" s="3"/>
    </row>
    <row r="103" spans="1:7" x14ac:dyDescent="0.25">
      <c r="F103" s="3"/>
    </row>
    <row r="104" spans="1:7" x14ac:dyDescent="0.25">
      <c r="F104" s="3"/>
    </row>
    <row r="105" spans="1:7" x14ac:dyDescent="0.25">
      <c r="F105" s="3"/>
    </row>
    <row r="106" spans="1:7" x14ac:dyDescent="0.25">
      <c r="F106" s="3"/>
    </row>
    <row r="107" spans="1:7" x14ac:dyDescent="0.25">
      <c r="F107" s="3"/>
      <c r="G107" s="5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precision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McNicol</dc:creator>
  <cp:lastModifiedBy>Gavin McNicol</cp:lastModifiedBy>
  <cp:lastPrinted>2022-10-26T18:35:50Z</cp:lastPrinted>
  <dcterms:created xsi:type="dcterms:W3CDTF">2015-06-05T18:17:20Z</dcterms:created>
  <dcterms:modified xsi:type="dcterms:W3CDTF">2022-12-02T20:36:36Z</dcterms:modified>
</cp:coreProperties>
</file>