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gavin/Documents/Research/Work/Data Analysis/UIC Prairie/2022-uic-prairie/data/7.9.22/"/>
    </mc:Choice>
  </mc:AlternateContent>
  <xr:revisionPtr revIDLastSave="0" documentId="13_ncr:1_{146F9B3E-2AD6-AC4A-90CE-9CAFC4BF3CF4}" xr6:coauthVersionLast="47" xr6:coauthVersionMax="47" xr10:uidLastSave="{00000000-0000-0000-0000-000000000000}"/>
  <bookViews>
    <workbookView xWindow="1080" yWindow="640" windowWidth="29040" windowHeight="15840" activeTab="1" xr2:uid="{00000000-000D-0000-FFFF-FFFF00000000}"/>
  </bookViews>
  <sheets>
    <sheet name="precision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1" l="1"/>
  <c r="C18" i="1" s="1"/>
  <c r="D96" i="1"/>
  <c r="D95" i="1"/>
  <c r="C95" i="1"/>
  <c r="C96" i="1" s="1"/>
  <c r="B95" i="1"/>
  <c r="B96" i="1" s="1"/>
  <c r="D76" i="1"/>
  <c r="D77" i="1" s="1"/>
  <c r="C76" i="1"/>
  <c r="C77" i="1" s="1"/>
  <c r="B76" i="1"/>
  <c r="B77" i="1" s="1"/>
  <c r="D60" i="1"/>
  <c r="D61" i="1" s="1"/>
  <c r="C60" i="1"/>
  <c r="C61" i="1" s="1"/>
  <c r="B60" i="1"/>
  <c r="B61" i="1" s="1"/>
  <c r="D44" i="1"/>
  <c r="D45" i="1" s="1"/>
  <c r="C44" i="1"/>
  <c r="C45" i="1" s="1"/>
  <c r="B44" i="1"/>
  <c r="B45" i="1" s="1"/>
  <c r="D17" i="1"/>
  <c r="D18" i="1" s="1"/>
  <c r="B17" i="1"/>
  <c r="B18" i="1" s="1"/>
</calcChain>
</file>

<file path=xl/sharedStrings.xml><?xml version="1.0" encoding="utf-8"?>
<sst xmlns="http://schemas.openxmlformats.org/spreadsheetml/2006/main" count="701" uniqueCount="171">
  <si>
    <t>Date</t>
  </si>
  <si>
    <t>Initial</t>
  </si>
  <si>
    <t>Std #</t>
  </si>
  <si>
    <t>CH4 Peak Ht</t>
  </si>
  <si>
    <t>CO2 Peak Ht</t>
  </si>
  <si>
    <t>N2O Peak Ht</t>
  </si>
  <si>
    <t>Average</t>
  </si>
  <si>
    <t>&lt; Max of:</t>
  </si>
  <si>
    <t>1. Complete this file with at least 5 standards (or until precision meets reqs.) at the start of your run. 2. Report precision in "tank presure log". 3. Save the file as "initials_date.xlsx" into your own run folder: Name &gt; Run</t>
  </si>
  <si>
    <t>STD</t>
  </si>
  <si>
    <t>JB</t>
  </si>
  <si>
    <t>220909_001</t>
  </si>
  <si>
    <t>220909_002</t>
  </si>
  <si>
    <t>220909_005</t>
  </si>
  <si>
    <t>C.V. (100%)</t>
  </si>
  <si>
    <t>DATE COLLECTED</t>
  </si>
  <si>
    <t xml:space="preserve">SITE </t>
  </si>
  <si>
    <t>ECOSYSTEM</t>
  </si>
  <si>
    <t>CHAMBER #</t>
  </si>
  <si>
    <t>TIME POINT</t>
  </si>
  <si>
    <t>GC RUN DATE</t>
  </si>
  <si>
    <t>JWP</t>
  </si>
  <si>
    <t>File Name</t>
  </si>
  <si>
    <t>220910.gcd</t>
  </si>
  <si>
    <t>220909_001.gcd</t>
  </si>
  <si>
    <t>220909_002.gcd</t>
  </si>
  <si>
    <t>220909_005.gcd</t>
  </si>
  <si>
    <t>220909_006.gcd</t>
  </si>
  <si>
    <t>220909_008.gcd</t>
  </si>
  <si>
    <t>220909_009.gcd</t>
  </si>
  <si>
    <t>220909_010.gcd</t>
  </si>
  <si>
    <t>220909_011.gcd</t>
  </si>
  <si>
    <t>220909_012.gcd</t>
  </si>
  <si>
    <t>FILENAME</t>
  </si>
  <si>
    <t>N/A</t>
  </si>
  <si>
    <t>T0</t>
  </si>
  <si>
    <t>T1</t>
  </si>
  <si>
    <t>T2</t>
  </si>
  <si>
    <t>T3</t>
  </si>
  <si>
    <t>T4</t>
  </si>
  <si>
    <t>220909_013</t>
  </si>
  <si>
    <t>220909_010</t>
  </si>
  <si>
    <t>220909_011</t>
  </si>
  <si>
    <t>220909_006</t>
  </si>
  <si>
    <t>220909_012</t>
  </si>
  <si>
    <t>220909_008</t>
  </si>
  <si>
    <t>220909_009</t>
  </si>
  <si>
    <t>SW-1</t>
  </si>
  <si>
    <t>220909_014</t>
  </si>
  <si>
    <t>220909_015</t>
  </si>
  <si>
    <t>220909_016</t>
  </si>
  <si>
    <t>220909_017</t>
  </si>
  <si>
    <t>220909_000</t>
  </si>
  <si>
    <t>220909_018</t>
  </si>
  <si>
    <t>220909_019</t>
  </si>
  <si>
    <t>220909_020</t>
  </si>
  <si>
    <t>220909_021</t>
  </si>
  <si>
    <t>220909_022</t>
  </si>
  <si>
    <t>220909_023</t>
  </si>
  <si>
    <t>220909_024</t>
  </si>
  <si>
    <t>220909_025</t>
  </si>
  <si>
    <t>220909_026</t>
  </si>
  <si>
    <t>220909_027</t>
  </si>
  <si>
    <t>220909_028</t>
  </si>
  <si>
    <t>220909_029</t>
  </si>
  <si>
    <t>220909_030</t>
  </si>
  <si>
    <t>220909_031</t>
  </si>
  <si>
    <t>220909_032</t>
  </si>
  <si>
    <t>220909_033</t>
  </si>
  <si>
    <t>220909_034</t>
  </si>
  <si>
    <t>220909_035</t>
  </si>
  <si>
    <t>220909_036</t>
  </si>
  <si>
    <t>220909_037</t>
  </si>
  <si>
    <t>220909_038</t>
  </si>
  <si>
    <t>220909_039</t>
  </si>
  <si>
    <t>220909_040</t>
  </si>
  <si>
    <t>220909_041</t>
  </si>
  <si>
    <t xml:space="preserve">SW-1 </t>
  </si>
  <si>
    <t>220909_042</t>
  </si>
  <si>
    <t>220909_043</t>
  </si>
  <si>
    <t>220909_044</t>
  </si>
  <si>
    <t xml:space="preserve">UP-1 </t>
  </si>
  <si>
    <t>UP-1</t>
  </si>
  <si>
    <t>220909_045</t>
  </si>
  <si>
    <t>220909_046</t>
  </si>
  <si>
    <t>220909_047</t>
  </si>
  <si>
    <t>220909_048</t>
  </si>
  <si>
    <t>220909_049</t>
  </si>
  <si>
    <t>220909_050</t>
  </si>
  <si>
    <t>220909_051</t>
  </si>
  <si>
    <t>220909_052</t>
  </si>
  <si>
    <t>220909_053</t>
  </si>
  <si>
    <t>220909_054</t>
  </si>
  <si>
    <t>NOTES</t>
  </si>
  <si>
    <t>Leaky; 3 to 4 mL</t>
  </si>
  <si>
    <t>220909_055</t>
  </si>
  <si>
    <t xml:space="preserve">Sample Leaked Completely </t>
  </si>
  <si>
    <t>STABLE</t>
  </si>
  <si>
    <t>220909_056</t>
  </si>
  <si>
    <t>220909_057</t>
  </si>
  <si>
    <t>220909_058</t>
  </si>
  <si>
    <t>220909_059</t>
  </si>
  <si>
    <t>220909_060</t>
  </si>
  <si>
    <t>220909_061</t>
  </si>
  <si>
    <t>220909_062</t>
  </si>
  <si>
    <t>220909_063</t>
  </si>
  <si>
    <t>220909_064</t>
  </si>
  <si>
    <t>220909_065</t>
  </si>
  <si>
    <t>SW-2</t>
  </si>
  <si>
    <t>Leaky;  1 to 2 mL little bubbling when injecting</t>
  </si>
  <si>
    <t>220909_066</t>
  </si>
  <si>
    <t>220909_073</t>
  </si>
  <si>
    <t>220909_076</t>
  </si>
  <si>
    <t>220909_067</t>
  </si>
  <si>
    <t>220909_068</t>
  </si>
  <si>
    <t>220909_069</t>
  </si>
  <si>
    <t>220909_070</t>
  </si>
  <si>
    <t>220909_071</t>
  </si>
  <si>
    <t>220909_072</t>
  </si>
  <si>
    <t>220909_083</t>
  </si>
  <si>
    <t>220909_074</t>
  </si>
  <si>
    <t>220909_075</t>
  </si>
  <si>
    <t>220909_077</t>
  </si>
  <si>
    <t>220909_078</t>
  </si>
  <si>
    <t>220909_079</t>
  </si>
  <si>
    <t>220909_080</t>
  </si>
  <si>
    <t>220909_081</t>
  </si>
  <si>
    <t>220909_082</t>
  </si>
  <si>
    <t>220909_084</t>
  </si>
  <si>
    <t>220909_085</t>
  </si>
  <si>
    <t>220909_086</t>
  </si>
  <si>
    <t>220909_087</t>
  </si>
  <si>
    <t>220909_088</t>
  </si>
  <si>
    <t>220909_089</t>
  </si>
  <si>
    <t>220909_090</t>
  </si>
  <si>
    <t>220909_091</t>
  </si>
  <si>
    <t>220909_092</t>
  </si>
  <si>
    <t>220909_093</t>
  </si>
  <si>
    <t>220909_094</t>
  </si>
  <si>
    <t>220909_095</t>
  </si>
  <si>
    <t>220909_096</t>
  </si>
  <si>
    <t>220909_097</t>
  </si>
  <si>
    <t>220909_098</t>
  </si>
  <si>
    <t>220909_099</t>
  </si>
  <si>
    <t xml:space="preserve">UP-2 </t>
  </si>
  <si>
    <t>220909_100</t>
  </si>
  <si>
    <t>220909_101</t>
  </si>
  <si>
    <t>220909_102</t>
  </si>
  <si>
    <t>220909_103</t>
  </si>
  <si>
    <t>220909_104</t>
  </si>
  <si>
    <t>220909_105</t>
  </si>
  <si>
    <t>220909_106</t>
  </si>
  <si>
    <t>220909_107</t>
  </si>
  <si>
    <t>220909_108</t>
  </si>
  <si>
    <t>220909_109</t>
  </si>
  <si>
    <t>220909_110</t>
  </si>
  <si>
    <t>220909_111</t>
  </si>
  <si>
    <t>220909_112</t>
  </si>
  <si>
    <t>220909_113</t>
  </si>
  <si>
    <t>220909_114</t>
  </si>
  <si>
    <t>220909_115</t>
  </si>
  <si>
    <t>220909_116</t>
  </si>
  <si>
    <t>220909_117</t>
  </si>
  <si>
    <t>220909_118</t>
  </si>
  <si>
    <t>220909_119</t>
  </si>
  <si>
    <t>220909_120</t>
  </si>
  <si>
    <t>220909_121</t>
  </si>
  <si>
    <t>220909_122</t>
  </si>
  <si>
    <t>220909_003</t>
  </si>
  <si>
    <t>220909_004</t>
  </si>
  <si>
    <t>220909_007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</si>
</sst>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AE9B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0" fontId="0" fillId="0" borderId="1" xfId="0" applyBorder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E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opLeftCell="A12" workbookViewId="0">
      <selection activeCell="E20" sqref="E20"/>
    </sheetView>
  </sheetViews>
  <sheetFormatPr baseColWidth="10" defaultColWidth="8.83203125" defaultRowHeight="15" x14ac:dyDescent="0.2"/>
  <cols>
    <col min="1" max="1" width="10.5" customWidth="1"/>
    <col min="2" max="2" width="11.5" bestFit="1" customWidth="1"/>
    <col min="3" max="3" width="11.6640625" bestFit="1" customWidth="1"/>
    <col min="4" max="4" width="12" bestFit="1" customWidth="1"/>
    <col min="5" max="5" width="15.5" customWidth="1"/>
  </cols>
  <sheetData>
    <row r="1" spans="1:5" x14ac:dyDescent="0.2">
      <c r="A1" t="s">
        <v>0</v>
      </c>
      <c r="B1" t="s">
        <v>1</v>
      </c>
    </row>
    <row r="2" spans="1:5" x14ac:dyDescent="0.2">
      <c r="A2" s="3">
        <v>44824</v>
      </c>
      <c r="B2" t="s">
        <v>10</v>
      </c>
    </row>
    <row r="3" spans="1:5" x14ac:dyDescent="0.2">
      <c r="A3" t="s">
        <v>2</v>
      </c>
      <c r="B3" t="s">
        <v>3</v>
      </c>
      <c r="C3" t="s">
        <v>4</v>
      </c>
      <c r="D3" t="s">
        <v>5</v>
      </c>
      <c r="E3" t="s">
        <v>22</v>
      </c>
    </row>
    <row r="4" spans="1:5" x14ac:dyDescent="0.2">
      <c r="A4">
        <v>1</v>
      </c>
      <c r="B4">
        <v>10288</v>
      </c>
      <c r="C4">
        <v>1041746</v>
      </c>
      <c r="D4">
        <v>17993</v>
      </c>
      <c r="E4" t="s">
        <v>135</v>
      </c>
    </row>
    <row r="5" spans="1:5" x14ac:dyDescent="0.2">
      <c r="A5">
        <v>2</v>
      </c>
      <c r="B5">
        <v>10238</v>
      </c>
      <c r="C5">
        <v>1037967</v>
      </c>
      <c r="D5">
        <v>19824</v>
      </c>
      <c r="E5" t="s">
        <v>136</v>
      </c>
    </row>
    <row r="6" spans="1:5" x14ac:dyDescent="0.2">
      <c r="A6">
        <v>3</v>
      </c>
      <c r="B6">
        <v>10267</v>
      </c>
      <c r="C6">
        <v>1040498</v>
      </c>
      <c r="D6">
        <v>18422</v>
      </c>
      <c r="E6" t="s">
        <v>137</v>
      </c>
    </row>
    <row r="7" spans="1:5" x14ac:dyDescent="0.2">
      <c r="A7">
        <v>4</v>
      </c>
      <c r="B7">
        <v>10290</v>
      </c>
      <c r="C7">
        <v>1041379</v>
      </c>
      <c r="D7">
        <v>18240</v>
      </c>
      <c r="E7" t="s">
        <v>138</v>
      </c>
    </row>
    <row r="8" spans="1:5" x14ac:dyDescent="0.2">
      <c r="A8">
        <v>5</v>
      </c>
      <c r="B8">
        <v>10315</v>
      </c>
      <c r="C8">
        <v>1040812</v>
      </c>
      <c r="D8">
        <v>17968</v>
      </c>
      <c r="E8" t="s">
        <v>139</v>
      </c>
    </row>
    <row r="9" spans="1:5" x14ac:dyDescent="0.2">
      <c r="A9">
        <v>6</v>
      </c>
      <c r="B9">
        <v>9903</v>
      </c>
      <c r="C9">
        <v>1056386</v>
      </c>
      <c r="D9">
        <v>16644</v>
      </c>
      <c r="E9" t="s">
        <v>151</v>
      </c>
    </row>
    <row r="10" spans="1:5" x14ac:dyDescent="0.2">
      <c r="A10">
        <v>7</v>
      </c>
      <c r="B10">
        <v>9871</v>
      </c>
      <c r="C10">
        <v>1060191</v>
      </c>
      <c r="D10">
        <v>17089</v>
      </c>
      <c r="E10" s="5" t="s">
        <v>162</v>
      </c>
    </row>
    <row r="11" spans="1:5" x14ac:dyDescent="0.2">
      <c r="A11">
        <v>8</v>
      </c>
    </row>
    <row r="12" spans="1:5" x14ac:dyDescent="0.2">
      <c r="A12">
        <v>9</v>
      </c>
    </row>
    <row r="13" spans="1:5" x14ac:dyDescent="0.2">
      <c r="A13">
        <v>10</v>
      </c>
    </row>
    <row r="14" spans="1:5" x14ac:dyDescent="0.2">
      <c r="A14">
        <v>11</v>
      </c>
    </row>
    <row r="15" spans="1:5" x14ac:dyDescent="0.2">
      <c r="A15">
        <v>12</v>
      </c>
    </row>
    <row r="16" spans="1:5" x14ac:dyDescent="0.2">
      <c r="A16">
        <v>13</v>
      </c>
    </row>
    <row r="17" spans="1:4" x14ac:dyDescent="0.2">
      <c r="A17" t="s">
        <v>6</v>
      </c>
      <c r="B17">
        <f>AVERAGE(B4:B13)</f>
        <v>10167.428571428571</v>
      </c>
      <c r="C17">
        <f>AVERAGE(C4:C13)</f>
        <v>1045568.4285714285</v>
      </c>
      <c r="D17">
        <f>AVERAGE(D4:D13)</f>
        <v>18025.714285714286</v>
      </c>
    </row>
    <row r="18" spans="1:4" x14ac:dyDescent="0.2">
      <c r="A18" t="s">
        <v>14</v>
      </c>
      <c r="B18">
        <f>STDEV(B4:B13)/B17*100</f>
        <v>1.9004750835421209</v>
      </c>
      <c r="C18">
        <f>STDEV(C4:C13)/C17*100</f>
        <v>0.84569190299473695</v>
      </c>
      <c r="D18">
        <f>STDEV(D4:D13)/D17*100</f>
        <v>5.6519443289227773</v>
      </c>
    </row>
    <row r="19" spans="1:4" x14ac:dyDescent="0.2">
      <c r="A19" t="s">
        <v>7</v>
      </c>
      <c r="B19" s="1">
        <v>0.02</v>
      </c>
      <c r="C19" s="1">
        <v>0.01</v>
      </c>
      <c r="D19" s="1">
        <v>0.05</v>
      </c>
    </row>
    <row r="20" spans="1:4" ht="15" customHeight="1" x14ac:dyDescent="0.2">
      <c r="A20" s="11" t="s">
        <v>8</v>
      </c>
      <c r="B20" s="11"/>
      <c r="C20" s="11"/>
    </row>
    <row r="21" spans="1:4" x14ac:dyDescent="0.2">
      <c r="A21" s="11"/>
      <c r="B21" s="11"/>
      <c r="C21" s="11"/>
    </row>
    <row r="22" spans="1:4" x14ac:dyDescent="0.2">
      <c r="A22" s="11"/>
      <c r="B22" s="11"/>
      <c r="C22" s="11"/>
    </row>
    <row r="23" spans="1:4" x14ac:dyDescent="0.2">
      <c r="A23" s="11"/>
      <c r="B23" s="11"/>
      <c r="C23" s="11"/>
    </row>
    <row r="24" spans="1:4" x14ac:dyDescent="0.2">
      <c r="A24" s="11"/>
      <c r="B24" s="11"/>
      <c r="C24" s="11"/>
    </row>
    <row r="25" spans="1:4" x14ac:dyDescent="0.2">
      <c r="A25" s="11"/>
      <c r="B25" s="11"/>
      <c r="C25" s="11"/>
    </row>
    <row r="26" spans="1:4" x14ac:dyDescent="0.2">
      <c r="A26" s="11"/>
      <c r="B26" s="11"/>
      <c r="C26" s="11"/>
    </row>
    <row r="27" spans="1:4" x14ac:dyDescent="0.2">
      <c r="A27" s="11"/>
      <c r="B27" s="11"/>
      <c r="C27" s="11"/>
    </row>
    <row r="28" spans="1:4" x14ac:dyDescent="0.2">
      <c r="A28" s="11"/>
      <c r="B28" s="11"/>
      <c r="C28" s="11"/>
    </row>
    <row r="29" spans="1:4" x14ac:dyDescent="0.2">
      <c r="A29" s="11"/>
      <c r="B29" s="11"/>
      <c r="C29" s="11"/>
    </row>
    <row r="31" spans="1:4" x14ac:dyDescent="0.2">
      <c r="A31" t="s">
        <v>0</v>
      </c>
      <c r="B31" t="s">
        <v>1</v>
      </c>
    </row>
    <row r="32" spans="1:4" x14ac:dyDescent="0.2">
      <c r="A32" s="3">
        <v>44813</v>
      </c>
      <c r="B32" t="s">
        <v>10</v>
      </c>
    </row>
    <row r="33" spans="1:5" x14ac:dyDescent="0.2">
      <c r="A33" t="s">
        <v>2</v>
      </c>
      <c r="B33" t="s">
        <v>3</v>
      </c>
      <c r="C33" t="s">
        <v>4</v>
      </c>
      <c r="D33" t="s">
        <v>5</v>
      </c>
      <c r="E33" t="s">
        <v>22</v>
      </c>
    </row>
    <row r="34" spans="1:5" x14ac:dyDescent="0.2">
      <c r="A34">
        <v>1</v>
      </c>
      <c r="B34">
        <v>10531</v>
      </c>
      <c r="C34">
        <v>1057431</v>
      </c>
      <c r="D34">
        <v>18453</v>
      </c>
      <c r="E34" t="s">
        <v>23</v>
      </c>
    </row>
    <row r="35" spans="1:5" x14ac:dyDescent="0.2">
      <c r="A35">
        <v>2</v>
      </c>
      <c r="B35">
        <v>10477</v>
      </c>
      <c r="C35">
        <v>1051697</v>
      </c>
      <c r="D35">
        <v>17791</v>
      </c>
      <c r="E35" t="s">
        <v>24</v>
      </c>
    </row>
    <row r="36" spans="1:5" x14ac:dyDescent="0.2">
      <c r="A36">
        <v>3</v>
      </c>
      <c r="B36">
        <v>10360</v>
      </c>
      <c r="C36">
        <v>1038604</v>
      </c>
      <c r="D36">
        <v>17927</v>
      </c>
      <c r="E36" t="s">
        <v>25</v>
      </c>
    </row>
    <row r="37" spans="1:5" x14ac:dyDescent="0.2">
      <c r="A37">
        <v>4</v>
      </c>
      <c r="B37" s="4">
        <v>10329</v>
      </c>
      <c r="C37" s="4">
        <v>1037382</v>
      </c>
      <c r="D37" s="4">
        <v>16284</v>
      </c>
      <c r="E37" s="4" t="s">
        <v>30</v>
      </c>
    </row>
    <row r="38" spans="1:5" x14ac:dyDescent="0.2">
      <c r="A38">
        <v>5</v>
      </c>
      <c r="B38" s="4">
        <v>10405</v>
      </c>
      <c r="C38" s="4">
        <v>1048612</v>
      </c>
      <c r="D38" s="4">
        <v>16290</v>
      </c>
      <c r="E38" s="4" t="s">
        <v>31</v>
      </c>
    </row>
    <row r="39" spans="1:5" x14ac:dyDescent="0.2">
      <c r="A39">
        <v>6</v>
      </c>
      <c r="B39">
        <v>10425</v>
      </c>
      <c r="C39">
        <v>1047512</v>
      </c>
      <c r="D39">
        <v>17181</v>
      </c>
      <c r="E39" t="s">
        <v>26</v>
      </c>
    </row>
    <row r="40" spans="1:5" x14ac:dyDescent="0.2">
      <c r="A40">
        <v>7</v>
      </c>
      <c r="B40">
        <v>9951</v>
      </c>
      <c r="C40">
        <v>1022097</v>
      </c>
      <c r="D40">
        <v>16028</v>
      </c>
      <c r="E40" t="s">
        <v>27</v>
      </c>
    </row>
    <row r="41" spans="1:5" x14ac:dyDescent="0.2">
      <c r="A41">
        <v>8</v>
      </c>
      <c r="B41">
        <v>10377</v>
      </c>
      <c r="C41">
        <v>1037512</v>
      </c>
      <c r="D41">
        <v>16165</v>
      </c>
      <c r="E41" t="s">
        <v>32</v>
      </c>
    </row>
    <row r="42" spans="1:5" x14ac:dyDescent="0.2">
      <c r="A42">
        <v>9</v>
      </c>
      <c r="B42">
        <v>10394</v>
      </c>
      <c r="C42">
        <v>1043663</v>
      </c>
      <c r="D42">
        <v>16448</v>
      </c>
      <c r="E42" t="s">
        <v>28</v>
      </c>
    </row>
    <row r="43" spans="1:5" x14ac:dyDescent="0.2">
      <c r="A43">
        <v>10</v>
      </c>
      <c r="B43">
        <v>10326</v>
      </c>
      <c r="C43">
        <v>1032801</v>
      </c>
      <c r="D43">
        <v>16022</v>
      </c>
      <c r="E43" t="s">
        <v>29</v>
      </c>
    </row>
    <row r="44" spans="1:5" x14ac:dyDescent="0.2">
      <c r="A44" t="s">
        <v>6</v>
      </c>
      <c r="B44">
        <f>AVERAGE(B34:B43)</f>
        <v>10357.5</v>
      </c>
      <c r="C44">
        <f>AVERAGE(C34:C43)</f>
        <v>1041731.1</v>
      </c>
      <c r="D44">
        <f>AVERAGE(D34:D43)</f>
        <v>16858.900000000001</v>
      </c>
    </row>
    <row r="45" spans="1:5" x14ac:dyDescent="0.2">
      <c r="A45" t="s">
        <v>14</v>
      </c>
      <c r="B45">
        <f>STDEV(B34:B43)/B44*100</f>
        <v>1.5093715245012682</v>
      </c>
      <c r="C45">
        <f>STDEV(C34:C43)/C44*100</f>
        <v>0.98210607602118549</v>
      </c>
      <c r="D45">
        <f>STDEV(D34:D43)/D44*100</f>
        <v>5.360292387061353</v>
      </c>
    </row>
    <row r="47" spans="1:5" x14ac:dyDescent="0.2">
      <c r="A47" t="s">
        <v>0</v>
      </c>
      <c r="B47" t="s">
        <v>1</v>
      </c>
    </row>
    <row r="48" spans="1:5" x14ac:dyDescent="0.2">
      <c r="A48" s="3">
        <v>44817</v>
      </c>
      <c r="B48" t="s">
        <v>10</v>
      </c>
    </row>
    <row r="49" spans="1:5" x14ac:dyDescent="0.2">
      <c r="A49" t="s">
        <v>2</v>
      </c>
      <c r="B49" t="s">
        <v>3</v>
      </c>
      <c r="C49" t="s">
        <v>4</v>
      </c>
      <c r="D49" t="s">
        <v>5</v>
      </c>
      <c r="E49" t="s">
        <v>22</v>
      </c>
    </row>
    <row r="50" spans="1:5" x14ac:dyDescent="0.2">
      <c r="A50">
        <v>1</v>
      </c>
      <c r="B50">
        <v>10222</v>
      </c>
      <c r="C50">
        <v>1040088</v>
      </c>
      <c r="D50">
        <v>15088</v>
      </c>
      <c r="E50" t="s">
        <v>59</v>
      </c>
    </row>
    <row r="51" spans="1:5" x14ac:dyDescent="0.2">
      <c r="A51">
        <v>2</v>
      </c>
      <c r="B51">
        <v>10396</v>
      </c>
      <c r="C51">
        <v>1042619</v>
      </c>
      <c r="D51">
        <v>15312</v>
      </c>
      <c r="E51" t="s">
        <v>60</v>
      </c>
    </row>
    <row r="52" spans="1:5" x14ac:dyDescent="0.2">
      <c r="A52">
        <v>3</v>
      </c>
      <c r="B52">
        <v>10417</v>
      </c>
      <c r="C52">
        <v>1038365</v>
      </c>
      <c r="D52">
        <v>15978</v>
      </c>
      <c r="E52" t="s">
        <v>61</v>
      </c>
    </row>
    <row r="53" spans="1:5" x14ac:dyDescent="0.2">
      <c r="A53">
        <v>4</v>
      </c>
      <c r="B53" s="4">
        <v>10347</v>
      </c>
      <c r="C53" s="4">
        <v>1038943</v>
      </c>
      <c r="D53" s="4">
        <v>15213</v>
      </c>
      <c r="E53" t="s">
        <v>62</v>
      </c>
    </row>
    <row r="54" spans="1:5" x14ac:dyDescent="0.2">
      <c r="A54">
        <v>5</v>
      </c>
      <c r="B54" s="4">
        <v>10437</v>
      </c>
      <c r="C54" s="4">
        <v>1042401</v>
      </c>
      <c r="D54" s="4">
        <v>15233</v>
      </c>
      <c r="E54" t="s">
        <v>63</v>
      </c>
    </row>
    <row r="55" spans="1:5" x14ac:dyDescent="0.2">
      <c r="A55">
        <v>6</v>
      </c>
    </row>
    <row r="56" spans="1:5" x14ac:dyDescent="0.2">
      <c r="A56">
        <v>7</v>
      </c>
    </row>
    <row r="57" spans="1:5" x14ac:dyDescent="0.2">
      <c r="A57">
        <v>8</v>
      </c>
    </row>
    <row r="58" spans="1:5" x14ac:dyDescent="0.2">
      <c r="A58">
        <v>9</v>
      </c>
    </row>
    <row r="59" spans="1:5" x14ac:dyDescent="0.2">
      <c r="A59">
        <v>10</v>
      </c>
    </row>
    <row r="60" spans="1:5" x14ac:dyDescent="0.2">
      <c r="A60" t="s">
        <v>6</v>
      </c>
      <c r="B60">
        <f>AVERAGE(B50:B59)</f>
        <v>10363.799999999999</v>
      </c>
      <c r="C60">
        <f>AVERAGE(C50:C59)</f>
        <v>1040483.2</v>
      </c>
      <c r="D60">
        <f>AVERAGE(D50:D59)</f>
        <v>15364.8</v>
      </c>
    </row>
    <row r="61" spans="1:5" x14ac:dyDescent="0.2">
      <c r="A61" t="s">
        <v>14</v>
      </c>
      <c r="B61">
        <f>STDEV(B50:B59)/B60*100</f>
        <v>0.83024330647097688</v>
      </c>
      <c r="C61">
        <f>STDEV(C50:C59)/C60*100</f>
        <v>0.18768853608113484</v>
      </c>
      <c r="D61">
        <f>STDEV(D50:D59)/D60*100</f>
        <v>2.2914563827064693</v>
      </c>
    </row>
    <row r="63" spans="1:5" x14ac:dyDescent="0.2">
      <c r="A63" t="s">
        <v>0</v>
      </c>
      <c r="B63" t="s">
        <v>1</v>
      </c>
    </row>
    <row r="64" spans="1:5" x14ac:dyDescent="0.2">
      <c r="A64" s="3">
        <v>44818</v>
      </c>
      <c r="B64" t="s">
        <v>10</v>
      </c>
    </row>
    <row r="65" spans="1:5" x14ac:dyDescent="0.2">
      <c r="A65" t="s">
        <v>2</v>
      </c>
      <c r="B65" t="s">
        <v>3</v>
      </c>
      <c r="C65" t="s">
        <v>4</v>
      </c>
      <c r="D65" t="s">
        <v>5</v>
      </c>
      <c r="E65" t="s">
        <v>22</v>
      </c>
    </row>
    <row r="66" spans="1:5" x14ac:dyDescent="0.2">
      <c r="A66">
        <v>1</v>
      </c>
      <c r="B66">
        <v>10014</v>
      </c>
      <c r="C66">
        <v>1032242</v>
      </c>
      <c r="D66">
        <v>14203</v>
      </c>
      <c r="E66" t="s">
        <v>83</v>
      </c>
    </row>
    <row r="67" spans="1:5" x14ac:dyDescent="0.2">
      <c r="A67">
        <v>2</v>
      </c>
      <c r="B67">
        <v>10457</v>
      </c>
      <c r="C67">
        <v>1050367</v>
      </c>
      <c r="D67">
        <v>14961</v>
      </c>
      <c r="E67" t="s">
        <v>84</v>
      </c>
    </row>
    <row r="68" spans="1:5" x14ac:dyDescent="0.2">
      <c r="A68">
        <v>3</v>
      </c>
      <c r="B68">
        <v>10536</v>
      </c>
      <c r="C68">
        <v>1041522</v>
      </c>
      <c r="D68">
        <v>15771</v>
      </c>
      <c r="E68" t="s">
        <v>85</v>
      </c>
    </row>
    <row r="69" spans="1:5" x14ac:dyDescent="0.2">
      <c r="A69">
        <v>4</v>
      </c>
      <c r="B69" s="4">
        <v>10398</v>
      </c>
      <c r="C69" s="4">
        <v>1036325</v>
      </c>
      <c r="D69" s="4">
        <v>15619</v>
      </c>
      <c r="E69" t="s">
        <v>86</v>
      </c>
    </row>
    <row r="70" spans="1:5" x14ac:dyDescent="0.2">
      <c r="A70">
        <v>5</v>
      </c>
      <c r="B70" s="4">
        <v>10456</v>
      </c>
      <c r="C70" s="4">
        <v>1037919</v>
      </c>
      <c r="D70" s="4">
        <v>14971</v>
      </c>
      <c r="E70" t="s">
        <v>87</v>
      </c>
    </row>
    <row r="71" spans="1:5" x14ac:dyDescent="0.2">
      <c r="A71">
        <v>6</v>
      </c>
      <c r="B71">
        <v>9993</v>
      </c>
      <c r="C71">
        <v>1058287</v>
      </c>
      <c r="D71">
        <v>14254</v>
      </c>
      <c r="E71" t="s">
        <v>95</v>
      </c>
    </row>
    <row r="72" spans="1:5" x14ac:dyDescent="0.2">
      <c r="A72">
        <v>7</v>
      </c>
      <c r="B72">
        <v>10176</v>
      </c>
      <c r="C72">
        <v>1089739</v>
      </c>
      <c r="D72">
        <v>15378</v>
      </c>
      <c r="E72" t="s">
        <v>110</v>
      </c>
    </row>
    <row r="73" spans="1:5" x14ac:dyDescent="0.2">
      <c r="A73">
        <v>8</v>
      </c>
    </row>
    <row r="74" spans="1:5" x14ac:dyDescent="0.2">
      <c r="A74">
        <v>9</v>
      </c>
    </row>
    <row r="75" spans="1:5" x14ac:dyDescent="0.2">
      <c r="A75">
        <v>10</v>
      </c>
    </row>
    <row r="76" spans="1:5" x14ac:dyDescent="0.2">
      <c r="A76" t="s">
        <v>6</v>
      </c>
      <c r="B76">
        <f>AVERAGE(B66:B75)</f>
        <v>10290</v>
      </c>
      <c r="C76">
        <f>AVERAGE(C66:C75)</f>
        <v>1049485.857142857</v>
      </c>
      <c r="D76">
        <f>AVERAGE(D66:D75)</f>
        <v>15022.428571428571</v>
      </c>
    </row>
    <row r="77" spans="1:5" x14ac:dyDescent="0.2">
      <c r="A77" t="s">
        <v>14</v>
      </c>
      <c r="B77">
        <f>STDEV(B66:B75)/B76*100</f>
        <v>2.1911050077167262</v>
      </c>
      <c r="C77">
        <f>STDEV(C66:C75)/C76*100</f>
        <v>1.8922785801689792</v>
      </c>
      <c r="D77">
        <f>STDEV(D66:D75)/D76*100</f>
        <v>4.1313221263049247</v>
      </c>
    </row>
    <row r="79" spans="1:5" x14ac:dyDescent="0.2">
      <c r="A79" t="s">
        <v>0</v>
      </c>
      <c r="B79" t="s">
        <v>1</v>
      </c>
    </row>
    <row r="80" spans="1:5" x14ac:dyDescent="0.2">
      <c r="A80" s="3">
        <v>44819</v>
      </c>
      <c r="B80" t="s">
        <v>10</v>
      </c>
    </row>
    <row r="81" spans="1:6" x14ac:dyDescent="0.2">
      <c r="A81" t="s">
        <v>2</v>
      </c>
      <c r="B81" t="s">
        <v>3</v>
      </c>
      <c r="C81" t="s">
        <v>4</v>
      </c>
      <c r="D81" t="s">
        <v>5</v>
      </c>
      <c r="E81" t="s">
        <v>22</v>
      </c>
    </row>
    <row r="82" spans="1:6" x14ac:dyDescent="0.2">
      <c r="A82">
        <v>1</v>
      </c>
      <c r="B82" s="9">
        <v>3429</v>
      </c>
      <c r="C82" s="9">
        <v>412530</v>
      </c>
      <c r="D82" s="9">
        <v>5968</v>
      </c>
      <c r="E82" t="s">
        <v>113</v>
      </c>
    </row>
    <row r="83" spans="1:6" x14ac:dyDescent="0.2">
      <c r="A83">
        <v>2</v>
      </c>
      <c r="B83">
        <v>10399</v>
      </c>
      <c r="C83">
        <v>1051177</v>
      </c>
      <c r="D83">
        <v>15808</v>
      </c>
      <c r="E83" t="s">
        <v>114</v>
      </c>
    </row>
    <row r="84" spans="1:6" x14ac:dyDescent="0.2">
      <c r="A84">
        <v>3</v>
      </c>
      <c r="B84" s="8">
        <v>0</v>
      </c>
      <c r="C84" s="8">
        <v>0</v>
      </c>
      <c r="D84" s="9">
        <v>662</v>
      </c>
      <c r="E84" t="s">
        <v>115</v>
      </c>
    </row>
    <row r="85" spans="1:6" x14ac:dyDescent="0.2">
      <c r="A85">
        <v>4</v>
      </c>
      <c r="B85" s="4">
        <v>10410</v>
      </c>
      <c r="C85" s="4">
        <v>1051517</v>
      </c>
      <c r="D85" s="4">
        <v>15466</v>
      </c>
      <c r="E85" t="s">
        <v>116</v>
      </c>
    </row>
    <row r="86" spans="1:6" x14ac:dyDescent="0.2">
      <c r="A86">
        <v>5</v>
      </c>
      <c r="B86" s="8">
        <v>1279</v>
      </c>
      <c r="C86" s="8">
        <v>149831</v>
      </c>
      <c r="D86" s="8">
        <v>2802</v>
      </c>
      <c r="E86" t="s">
        <v>117</v>
      </c>
    </row>
    <row r="87" spans="1:6" x14ac:dyDescent="0.2">
      <c r="A87">
        <v>6</v>
      </c>
      <c r="B87">
        <v>10452</v>
      </c>
      <c r="C87">
        <v>1054489</v>
      </c>
      <c r="D87">
        <v>15464</v>
      </c>
      <c r="E87" t="s">
        <v>118</v>
      </c>
    </row>
    <row r="88" spans="1:6" x14ac:dyDescent="0.2">
      <c r="A88">
        <v>7</v>
      </c>
      <c r="B88">
        <v>10416</v>
      </c>
      <c r="C88">
        <v>1057316</v>
      </c>
      <c r="D88">
        <v>15353</v>
      </c>
      <c r="E88" t="s">
        <v>111</v>
      </c>
    </row>
    <row r="89" spans="1:6" x14ac:dyDescent="0.2">
      <c r="A89">
        <v>8</v>
      </c>
      <c r="B89" s="9">
        <v>0</v>
      </c>
      <c r="C89" s="9">
        <v>0</v>
      </c>
      <c r="D89" s="9">
        <v>76</v>
      </c>
      <c r="E89" t="s">
        <v>120</v>
      </c>
    </row>
    <row r="90" spans="1:6" x14ac:dyDescent="0.2">
      <c r="A90">
        <v>9</v>
      </c>
      <c r="B90" s="10">
        <v>9838</v>
      </c>
      <c r="C90" s="10">
        <v>1009682</v>
      </c>
      <c r="D90" s="10">
        <v>14615</v>
      </c>
      <c r="E90" t="s">
        <v>121</v>
      </c>
      <c r="F90" s="10"/>
    </row>
    <row r="91" spans="1:6" x14ac:dyDescent="0.2">
      <c r="A91">
        <v>10</v>
      </c>
      <c r="B91" s="10">
        <v>10401</v>
      </c>
      <c r="C91" s="10">
        <v>1052285</v>
      </c>
      <c r="D91" s="10">
        <v>15391</v>
      </c>
      <c r="E91" t="s">
        <v>112</v>
      </c>
      <c r="F91" s="10"/>
    </row>
    <row r="92" spans="1:6" x14ac:dyDescent="0.2">
      <c r="A92">
        <v>11</v>
      </c>
      <c r="B92" s="10">
        <v>10396</v>
      </c>
      <c r="C92" s="10">
        <v>1052722</v>
      </c>
      <c r="D92" s="10">
        <v>15451</v>
      </c>
      <c r="E92" t="s">
        <v>122</v>
      </c>
      <c r="F92" s="10"/>
    </row>
    <row r="93" spans="1:6" x14ac:dyDescent="0.2">
      <c r="A93">
        <v>12</v>
      </c>
      <c r="B93" s="10">
        <v>10358</v>
      </c>
      <c r="C93" s="10">
        <v>1049600</v>
      </c>
      <c r="D93" s="10">
        <v>15445</v>
      </c>
      <c r="E93" t="s">
        <v>123</v>
      </c>
      <c r="F93" s="10"/>
    </row>
    <row r="94" spans="1:6" x14ac:dyDescent="0.2">
      <c r="A94">
        <v>13</v>
      </c>
      <c r="B94" s="10">
        <v>9365</v>
      </c>
      <c r="C94" s="10">
        <v>928277</v>
      </c>
      <c r="D94" s="10">
        <v>12763</v>
      </c>
      <c r="E94" t="s">
        <v>124</v>
      </c>
      <c r="F94" s="10"/>
    </row>
    <row r="95" spans="1:6" x14ac:dyDescent="0.2">
      <c r="A95" t="s">
        <v>6</v>
      </c>
      <c r="B95">
        <f>AVERAGE(B82:B91)</f>
        <v>6662.4</v>
      </c>
      <c r="C95">
        <f>AVERAGE(C82:C91)</f>
        <v>683882.7</v>
      </c>
      <c r="D95">
        <f>AVERAGE(D82:D91)</f>
        <v>10160.5</v>
      </c>
    </row>
    <row r="96" spans="1:6" x14ac:dyDescent="0.2">
      <c r="A96" t="s">
        <v>14</v>
      </c>
      <c r="B96">
        <f>STDEV(B82:B91)/B95*100</f>
        <v>72.283691334006406</v>
      </c>
      <c r="C96">
        <f>STDEV(C82:C91)/C95*100</f>
        <v>70.345732683461819</v>
      </c>
      <c r="D96">
        <f>STDEV(D82:D91)/D95*100</f>
        <v>67.710507007287077</v>
      </c>
    </row>
  </sheetData>
  <mergeCells count="1">
    <mergeCell ref="A20:C29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E9AB-7D8B-4292-B29C-595E327A768B}">
  <dimension ref="A1:H124"/>
  <sheetViews>
    <sheetView tabSelected="1" workbookViewId="0">
      <selection activeCell="A69" sqref="A69:F81"/>
    </sheetView>
  </sheetViews>
  <sheetFormatPr baseColWidth="10" defaultColWidth="8.83203125" defaultRowHeight="15" x14ac:dyDescent="0.2"/>
  <cols>
    <col min="1" max="1" width="17.5" customWidth="1"/>
    <col min="2" max="2" width="14.1640625" customWidth="1"/>
    <col min="3" max="3" width="12.83203125" customWidth="1"/>
    <col min="4" max="4" width="13.33203125" customWidth="1"/>
    <col min="5" max="5" width="13.83203125" customWidth="1"/>
    <col min="6" max="6" width="14.6640625" customWidth="1"/>
    <col min="7" max="7" width="16.33203125" customWidth="1"/>
    <col min="8" max="8" width="27.83203125" customWidth="1"/>
  </cols>
  <sheetData>
    <row r="1" spans="1:8" x14ac:dyDescent="0.2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33</v>
      </c>
      <c r="H1" s="2" t="s">
        <v>93</v>
      </c>
    </row>
    <row r="2" spans="1:8" x14ac:dyDescent="0.2">
      <c r="A2" s="3" t="s">
        <v>34</v>
      </c>
      <c r="B2" t="s">
        <v>9</v>
      </c>
      <c r="C2" s="6" t="s">
        <v>34</v>
      </c>
      <c r="D2" s="6" t="s">
        <v>34</v>
      </c>
      <c r="E2" s="6" t="s">
        <v>34</v>
      </c>
      <c r="F2" s="3">
        <v>44813</v>
      </c>
      <c r="G2" s="5" t="s">
        <v>52</v>
      </c>
    </row>
    <row r="3" spans="1:8" x14ac:dyDescent="0.2">
      <c r="A3" s="3" t="s">
        <v>34</v>
      </c>
      <c r="B3" t="s">
        <v>9</v>
      </c>
      <c r="C3" s="6" t="s">
        <v>34</v>
      </c>
      <c r="D3" s="6" t="s">
        <v>34</v>
      </c>
      <c r="E3" s="6" t="s">
        <v>34</v>
      </c>
      <c r="F3" s="3">
        <v>44813</v>
      </c>
      <c r="G3" t="s">
        <v>11</v>
      </c>
    </row>
    <row r="4" spans="1:8" x14ac:dyDescent="0.2">
      <c r="A4" s="3" t="s">
        <v>34</v>
      </c>
      <c r="B4" t="s">
        <v>9</v>
      </c>
      <c r="C4" s="6" t="s">
        <v>34</v>
      </c>
      <c r="D4" s="6" t="s">
        <v>34</v>
      </c>
      <c r="E4" s="6" t="s">
        <v>34</v>
      </c>
      <c r="F4" s="3">
        <v>44813</v>
      </c>
      <c r="G4" t="s">
        <v>12</v>
      </c>
    </row>
    <row r="5" spans="1:8" x14ac:dyDescent="0.2">
      <c r="A5" s="3" t="s">
        <v>34</v>
      </c>
      <c r="B5" t="s">
        <v>9</v>
      </c>
      <c r="C5" s="6" t="s">
        <v>34</v>
      </c>
      <c r="D5" s="6" t="s">
        <v>34</v>
      </c>
      <c r="E5" s="6" t="s">
        <v>34</v>
      </c>
      <c r="F5" s="3">
        <v>44813</v>
      </c>
      <c r="G5" t="s">
        <v>168</v>
      </c>
    </row>
    <row r="6" spans="1:8" x14ac:dyDescent="0.2">
      <c r="A6" s="3" t="s">
        <v>34</v>
      </c>
      <c r="B6" t="s">
        <v>9</v>
      </c>
      <c r="C6" s="6" t="s">
        <v>34</v>
      </c>
      <c r="D6" s="6" t="s">
        <v>34</v>
      </c>
      <c r="E6" s="6" t="s">
        <v>34</v>
      </c>
      <c r="F6" s="3">
        <v>44813</v>
      </c>
      <c r="G6" t="s">
        <v>169</v>
      </c>
    </row>
    <row r="7" spans="1:8" x14ac:dyDescent="0.2">
      <c r="A7" s="3" t="s">
        <v>34</v>
      </c>
      <c r="B7" t="s">
        <v>9</v>
      </c>
      <c r="C7" s="6" t="s">
        <v>34</v>
      </c>
      <c r="D7" s="6" t="s">
        <v>34</v>
      </c>
      <c r="E7" s="6" t="s">
        <v>34</v>
      </c>
      <c r="F7" s="3">
        <v>44813</v>
      </c>
      <c r="G7" t="s">
        <v>13</v>
      </c>
    </row>
    <row r="8" spans="1:8" x14ac:dyDescent="0.2">
      <c r="A8" s="3" t="s">
        <v>34</v>
      </c>
      <c r="B8" t="s">
        <v>9</v>
      </c>
      <c r="C8" s="6" t="s">
        <v>34</v>
      </c>
      <c r="D8" s="6" t="s">
        <v>34</v>
      </c>
      <c r="E8" s="6" t="s">
        <v>34</v>
      </c>
      <c r="F8" s="3">
        <v>44813</v>
      </c>
      <c r="G8" t="s">
        <v>43</v>
      </c>
    </row>
    <row r="9" spans="1:8" x14ac:dyDescent="0.2">
      <c r="A9" s="3" t="s">
        <v>34</v>
      </c>
      <c r="B9" t="s">
        <v>9</v>
      </c>
      <c r="C9" s="6" t="s">
        <v>34</v>
      </c>
      <c r="D9" s="6" t="s">
        <v>34</v>
      </c>
      <c r="E9" s="6" t="s">
        <v>34</v>
      </c>
      <c r="F9" s="3">
        <v>44813</v>
      </c>
      <c r="G9" t="s">
        <v>170</v>
      </c>
    </row>
    <row r="10" spans="1:8" x14ac:dyDescent="0.2">
      <c r="A10" s="3" t="s">
        <v>34</v>
      </c>
      <c r="B10" t="s">
        <v>9</v>
      </c>
      <c r="C10" s="6" t="s">
        <v>34</v>
      </c>
      <c r="D10" s="6" t="s">
        <v>34</v>
      </c>
      <c r="E10" s="6" t="s">
        <v>34</v>
      </c>
      <c r="F10" s="3">
        <v>44813</v>
      </c>
      <c r="G10" t="s">
        <v>45</v>
      </c>
    </row>
    <row r="11" spans="1:8" x14ac:dyDescent="0.2">
      <c r="A11" s="3" t="s">
        <v>34</v>
      </c>
      <c r="B11" t="s">
        <v>9</v>
      </c>
      <c r="C11" s="6" t="s">
        <v>34</v>
      </c>
      <c r="D11" s="6" t="s">
        <v>34</v>
      </c>
      <c r="E11" s="6" t="s">
        <v>34</v>
      </c>
      <c r="F11" s="3">
        <v>44813</v>
      </c>
      <c r="G11" t="s">
        <v>46</v>
      </c>
    </row>
    <row r="12" spans="1:8" x14ac:dyDescent="0.2">
      <c r="A12" s="3" t="s">
        <v>34</v>
      </c>
      <c r="B12" t="s">
        <v>9</v>
      </c>
      <c r="C12" s="6" t="s">
        <v>34</v>
      </c>
      <c r="D12" s="6" t="s">
        <v>34</v>
      </c>
      <c r="E12" s="6" t="s">
        <v>34</v>
      </c>
      <c r="F12" s="3">
        <v>44813</v>
      </c>
      <c r="G12" s="4" t="s">
        <v>41</v>
      </c>
    </row>
    <row r="13" spans="1:8" x14ac:dyDescent="0.2">
      <c r="A13" s="3" t="s">
        <v>34</v>
      </c>
      <c r="B13" t="s">
        <v>9</v>
      </c>
      <c r="C13" s="6" t="s">
        <v>34</v>
      </c>
      <c r="D13" s="6" t="s">
        <v>34</v>
      </c>
      <c r="E13" s="6" t="s">
        <v>34</v>
      </c>
      <c r="F13" s="3">
        <v>44813</v>
      </c>
      <c r="G13" s="4" t="s">
        <v>42</v>
      </c>
    </row>
    <row r="14" spans="1:8" x14ac:dyDescent="0.2">
      <c r="A14" s="3" t="s">
        <v>34</v>
      </c>
      <c r="B14" t="s">
        <v>9</v>
      </c>
      <c r="C14" s="6" t="s">
        <v>34</v>
      </c>
      <c r="D14" s="6" t="s">
        <v>34</v>
      </c>
      <c r="E14" s="6" t="s">
        <v>34</v>
      </c>
      <c r="F14" s="3">
        <v>44813</v>
      </c>
      <c r="G14" t="s">
        <v>44</v>
      </c>
    </row>
    <row r="15" spans="1:8" x14ac:dyDescent="0.2">
      <c r="A15" s="3">
        <v>44751</v>
      </c>
      <c r="B15" t="s">
        <v>21</v>
      </c>
      <c r="C15" s="6" t="s">
        <v>47</v>
      </c>
      <c r="D15" s="6">
        <v>1</v>
      </c>
      <c r="E15" s="6" t="s">
        <v>35</v>
      </c>
      <c r="F15" s="3">
        <v>44813</v>
      </c>
      <c r="G15" t="s">
        <v>40</v>
      </c>
    </row>
    <row r="16" spans="1:8" x14ac:dyDescent="0.2">
      <c r="A16" s="3">
        <v>44751</v>
      </c>
      <c r="B16" t="s">
        <v>21</v>
      </c>
      <c r="C16" s="6" t="s">
        <v>47</v>
      </c>
      <c r="D16" s="6">
        <v>1</v>
      </c>
      <c r="E16" s="6" t="s">
        <v>36</v>
      </c>
      <c r="F16" s="3">
        <v>44813</v>
      </c>
      <c r="G16" t="s">
        <v>48</v>
      </c>
    </row>
    <row r="17" spans="1:8" x14ac:dyDescent="0.2">
      <c r="A17" s="3">
        <v>44751</v>
      </c>
      <c r="B17" t="s">
        <v>21</v>
      </c>
      <c r="C17" s="6" t="s">
        <v>47</v>
      </c>
      <c r="D17" s="6">
        <v>1</v>
      </c>
      <c r="E17" s="6" t="s">
        <v>37</v>
      </c>
      <c r="F17" s="3">
        <v>44813</v>
      </c>
      <c r="G17" t="s">
        <v>49</v>
      </c>
    </row>
    <row r="18" spans="1:8" x14ac:dyDescent="0.2">
      <c r="A18" s="3">
        <v>44751</v>
      </c>
      <c r="B18" t="s">
        <v>21</v>
      </c>
      <c r="C18" s="6" t="s">
        <v>47</v>
      </c>
      <c r="D18" s="6">
        <v>1</v>
      </c>
      <c r="E18" s="6" t="s">
        <v>38</v>
      </c>
      <c r="F18" s="3">
        <v>44813</v>
      </c>
      <c r="G18" t="s">
        <v>50</v>
      </c>
    </row>
    <row r="19" spans="1:8" x14ac:dyDescent="0.2">
      <c r="A19" s="3">
        <v>44751</v>
      </c>
      <c r="B19" t="s">
        <v>21</v>
      </c>
      <c r="C19" s="6" t="s">
        <v>47</v>
      </c>
      <c r="D19" s="6">
        <v>1</v>
      </c>
      <c r="E19" s="6" t="s">
        <v>39</v>
      </c>
      <c r="F19" s="3">
        <v>44813</v>
      </c>
      <c r="G19" t="s">
        <v>51</v>
      </c>
    </row>
    <row r="20" spans="1:8" x14ac:dyDescent="0.2">
      <c r="A20" s="3">
        <v>44751</v>
      </c>
      <c r="B20" t="s">
        <v>21</v>
      </c>
      <c r="C20" s="6" t="s">
        <v>47</v>
      </c>
      <c r="D20" s="6">
        <v>2</v>
      </c>
      <c r="E20" s="6" t="s">
        <v>35</v>
      </c>
      <c r="F20" s="3">
        <v>44813</v>
      </c>
      <c r="G20" t="s">
        <v>53</v>
      </c>
    </row>
    <row r="21" spans="1:8" x14ac:dyDescent="0.2">
      <c r="A21" s="3">
        <v>44751</v>
      </c>
      <c r="B21" t="s">
        <v>21</v>
      </c>
      <c r="C21" s="6" t="s">
        <v>47</v>
      </c>
      <c r="D21" s="6">
        <v>2</v>
      </c>
      <c r="E21" s="6" t="s">
        <v>36</v>
      </c>
      <c r="F21" s="3">
        <v>44813</v>
      </c>
      <c r="G21" t="s">
        <v>54</v>
      </c>
    </row>
    <row r="22" spans="1:8" x14ac:dyDescent="0.2">
      <c r="A22" s="3">
        <v>44751</v>
      </c>
      <c r="B22" t="s">
        <v>21</v>
      </c>
      <c r="C22" s="6" t="s">
        <v>47</v>
      </c>
      <c r="D22" s="6">
        <v>2</v>
      </c>
      <c r="E22" s="6" t="s">
        <v>37</v>
      </c>
      <c r="F22" s="3">
        <v>44813</v>
      </c>
      <c r="G22" t="s">
        <v>55</v>
      </c>
    </row>
    <row r="23" spans="1:8" x14ac:dyDescent="0.2">
      <c r="A23" s="3">
        <v>44751</v>
      </c>
      <c r="B23" t="s">
        <v>21</v>
      </c>
      <c r="C23" s="6" t="s">
        <v>47</v>
      </c>
      <c r="D23" s="6">
        <v>2</v>
      </c>
      <c r="E23" s="6" t="s">
        <v>38</v>
      </c>
      <c r="F23" s="3">
        <v>44813</v>
      </c>
      <c r="G23" t="s">
        <v>56</v>
      </c>
    </row>
    <row r="24" spans="1:8" x14ac:dyDescent="0.2">
      <c r="A24" s="3">
        <v>44751</v>
      </c>
      <c r="B24" t="s">
        <v>21</v>
      </c>
      <c r="C24" s="6" t="s">
        <v>47</v>
      </c>
      <c r="D24" s="6">
        <v>2</v>
      </c>
      <c r="E24" s="6" t="s">
        <v>39</v>
      </c>
      <c r="F24" s="3">
        <v>44813</v>
      </c>
      <c r="G24" t="s">
        <v>57</v>
      </c>
    </row>
    <row r="25" spans="1:8" x14ac:dyDescent="0.2">
      <c r="A25" s="3" t="s">
        <v>34</v>
      </c>
      <c r="B25" t="s">
        <v>9</v>
      </c>
      <c r="C25" s="6" t="s">
        <v>34</v>
      </c>
      <c r="D25" s="6" t="s">
        <v>34</v>
      </c>
      <c r="E25" s="6" t="s">
        <v>34</v>
      </c>
      <c r="F25" s="3">
        <v>44816</v>
      </c>
      <c r="G25" t="s">
        <v>58</v>
      </c>
      <c r="H25" s="7" t="s">
        <v>97</v>
      </c>
    </row>
    <row r="26" spans="1:8" x14ac:dyDescent="0.2">
      <c r="A26" s="3" t="s">
        <v>34</v>
      </c>
      <c r="B26" t="s">
        <v>9</v>
      </c>
      <c r="C26" s="6" t="s">
        <v>34</v>
      </c>
      <c r="D26" s="6" t="s">
        <v>34</v>
      </c>
      <c r="E26" s="6" t="s">
        <v>34</v>
      </c>
      <c r="F26" s="3">
        <v>44817</v>
      </c>
      <c r="G26" t="s">
        <v>59</v>
      </c>
    </row>
    <row r="27" spans="1:8" x14ac:dyDescent="0.2">
      <c r="A27" s="3" t="s">
        <v>34</v>
      </c>
      <c r="B27" t="s">
        <v>9</v>
      </c>
      <c r="C27" s="6" t="s">
        <v>34</v>
      </c>
      <c r="D27" s="6" t="s">
        <v>34</v>
      </c>
      <c r="E27" s="6" t="s">
        <v>34</v>
      </c>
      <c r="F27" s="3">
        <v>44817</v>
      </c>
      <c r="G27" t="s">
        <v>60</v>
      </c>
    </row>
    <row r="28" spans="1:8" x14ac:dyDescent="0.2">
      <c r="A28" s="3" t="s">
        <v>34</v>
      </c>
      <c r="B28" t="s">
        <v>9</v>
      </c>
      <c r="C28" s="6" t="s">
        <v>34</v>
      </c>
      <c r="D28" s="6" t="s">
        <v>34</v>
      </c>
      <c r="E28" s="6" t="s">
        <v>34</v>
      </c>
      <c r="F28" s="3">
        <v>44817</v>
      </c>
      <c r="G28" t="s">
        <v>61</v>
      </c>
    </row>
    <row r="29" spans="1:8" x14ac:dyDescent="0.2">
      <c r="A29" s="3" t="s">
        <v>34</v>
      </c>
      <c r="B29" t="s">
        <v>9</v>
      </c>
      <c r="C29" s="6" t="s">
        <v>34</v>
      </c>
      <c r="D29" s="6" t="s">
        <v>34</v>
      </c>
      <c r="E29" s="6" t="s">
        <v>34</v>
      </c>
      <c r="F29" s="3">
        <v>44817</v>
      </c>
      <c r="G29" t="s">
        <v>62</v>
      </c>
    </row>
    <row r="30" spans="1:8" x14ac:dyDescent="0.2">
      <c r="A30" s="3" t="s">
        <v>34</v>
      </c>
      <c r="B30" t="s">
        <v>9</v>
      </c>
      <c r="C30" s="6" t="s">
        <v>34</v>
      </c>
      <c r="D30" s="6" t="s">
        <v>34</v>
      </c>
      <c r="E30" s="6" t="s">
        <v>34</v>
      </c>
      <c r="F30" s="3">
        <v>44817</v>
      </c>
      <c r="G30" t="s">
        <v>63</v>
      </c>
    </row>
    <row r="31" spans="1:8" x14ac:dyDescent="0.2">
      <c r="A31" s="3">
        <v>44751</v>
      </c>
      <c r="B31" t="s">
        <v>21</v>
      </c>
      <c r="C31" s="6" t="s">
        <v>77</v>
      </c>
      <c r="D31" s="6">
        <v>3</v>
      </c>
      <c r="E31" s="6" t="s">
        <v>35</v>
      </c>
      <c r="F31" s="3">
        <v>44817</v>
      </c>
      <c r="G31" t="s">
        <v>64</v>
      </c>
    </row>
    <row r="32" spans="1:8" x14ac:dyDescent="0.2">
      <c r="A32" s="3">
        <v>44751</v>
      </c>
      <c r="B32" t="s">
        <v>21</v>
      </c>
      <c r="C32" s="6" t="s">
        <v>77</v>
      </c>
      <c r="D32" s="6">
        <v>3</v>
      </c>
      <c r="E32" s="6" t="s">
        <v>36</v>
      </c>
      <c r="F32" s="3">
        <v>44817</v>
      </c>
      <c r="G32" t="s">
        <v>65</v>
      </c>
    </row>
    <row r="33" spans="1:8" x14ac:dyDescent="0.2">
      <c r="A33" s="3">
        <v>44751</v>
      </c>
      <c r="B33" t="s">
        <v>21</v>
      </c>
      <c r="C33" s="6" t="s">
        <v>77</v>
      </c>
      <c r="D33" s="6">
        <v>3</v>
      </c>
      <c r="E33" s="6" t="s">
        <v>37</v>
      </c>
      <c r="F33" s="3">
        <v>44817</v>
      </c>
      <c r="G33" t="s">
        <v>66</v>
      </c>
    </row>
    <row r="34" spans="1:8" x14ac:dyDescent="0.2">
      <c r="A34" s="3">
        <v>44751</v>
      </c>
      <c r="B34" t="s">
        <v>21</v>
      </c>
      <c r="C34" s="6" t="s">
        <v>77</v>
      </c>
      <c r="D34" s="6">
        <v>3</v>
      </c>
      <c r="E34" s="6" t="s">
        <v>38</v>
      </c>
      <c r="F34" s="3">
        <v>44817</v>
      </c>
      <c r="G34" t="s">
        <v>67</v>
      </c>
    </row>
    <row r="35" spans="1:8" x14ac:dyDescent="0.2">
      <c r="A35" s="3">
        <v>44751</v>
      </c>
      <c r="B35" t="s">
        <v>21</v>
      </c>
      <c r="C35" s="6" t="s">
        <v>77</v>
      </c>
      <c r="D35" s="6">
        <v>3</v>
      </c>
      <c r="E35" s="6" t="s">
        <v>39</v>
      </c>
      <c r="F35" s="3">
        <v>44817</v>
      </c>
      <c r="G35" t="s">
        <v>68</v>
      </c>
      <c r="H35" s="6" t="s">
        <v>94</v>
      </c>
    </row>
    <row r="36" spans="1:8" x14ac:dyDescent="0.2">
      <c r="A36" s="3">
        <v>44751</v>
      </c>
      <c r="B36" t="s">
        <v>21</v>
      </c>
      <c r="C36" s="6" t="s">
        <v>81</v>
      </c>
      <c r="D36" s="6">
        <v>1</v>
      </c>
      <c r="E36" s="6" t="s">
        <v>35</v>
      </c>
      <c r="F36" s="3">
        <v>44817</v>
      </c>
      <c r="G36" t="s">
        <v>69</v>
      </c>
    </row>
    <row r="37" spans="1:8" x14ac:dyDescent="0.2">
      <c r="A37" s="3">
        <v>44751</v>
      </c>
      <c r="B37" t="s">
        <v>21</v>
      </c>
      <c r="C37" s="6" t="s">
        <v>81</v>
      </c>
      <c r="D37" s="6">
        <v>1</v>
      </c>
      <c r="E37" s="6" t="s">
        <v>36</v>
      </c>
      <c r="F37" s="3">
        <v>44817</v>
      </c>
      <c r="G37" t="s">
        <v>70</v>
      </c>
    </row>
    <row r="38" spans="1:8" x14ac:dyDescent="0.2">
      <c r="A38" s="3">
        <v>44751</v>
      </c>
      <c r="B38" t="s">
        <v>21</v>
      </c>
      <c r="C38" s="6" t="s">
        <v>82</v>
      </c>
      <c r="D38" s="6">
        <v>1</v>
      </c>
      <c r="E38" s="6" t="s">
        <v>37</v>
      </c>
      <c r="F38" s="3">
        <v>44817</v>
      </c>
      <c r="G38" t="s">
        <v>71</v>
      </c>
      <c r="H38" s="6" t="s">
        <v>94</v>
      </c>
    </row>
    <row r="39" spans="1:8" x14ac:dyDescent="0.2">
      <c r="A39" s="3">
        <v>44751</v>
      </c>
      <c r="B39" t="s">
        <v>21</v>
      </c>
      <c r="C39" s="6" t="s">
        <v>82</v>
      </c>
      <c r="D39" s="6">
        <v>1</v>
      </c>
      <c r="E39" s="6" t="s">
        <v>38</v>
      </c>
      <c r="F39" s="3">
        <v>44817</v>
      </c>
      <c r="G39" t="s">
        <v>72</v>
      </c>
      <c r="H39" s="6" t="s">
        <v>96</v>
      </c>
    </row>
    <row r="40" spans="1:8" x14ac:dyDescent="0.2">
      <c r="A40" s="3">
        <v>44751</v>
      </c>
      <c r="B40" t="s">
        <v>21</v>
      </c>
      <c r="C40" s="6" t="s">
        <v>82</v>
      </c>
      <c r="D40" s="6">
        <v>1</v>
      </c>
      <c r="E40" s="6" t="s">
        <v>39</v>
      </c>
      <c r="F40" s="3">
        <v>44817</v>
      </c>
      <c r="G40" t="s">
        <v>73</v>
      </c>
      <c r="H40" s="7" t="s">
        <v>97</v>
      </c>
    </row>
    <row r="41" spans="1:8" x14ac:dyDescent="0.2">
      <c r="A41" s="3" t="s">
        <v>34</v>
      </c>
      <c r="B41" t="s">
        <v>9</v>
      </c>
      <c r="C41" s="6" t="s">
        <v>34</v>
      </c>
      <c r="D41" s="6" t="s">
        <v>34</v>
      </c>
      <c r="E41" s="6" t="s">
        <v>34</v>
      </c>
      <c r="F41" s="3">
        <v>44817</v>
      </c>
      <c r="G41" s="5" t="s">
        <v>74</v>
      </c>
    </row>
    <row r="42" spans="1:8" x14ac:dyDescent="0.2">
      <c r="A42" s="3">
        <v>44751</v>
      </c>
      <c r="B42" t="s">
        <v>21</v>
      </c>
      <c r="C42" s="6" t="s">
        <v>82</v>
      </c>
      <c r="D42" s="6">
        <v>2</v>
      </c>
      <c r="E42" s="6" t="s">
        <v>35</v>
      </c>
      <c r="F42" s="3">
        <v>44817</v>
      </c>
      <c r="G42" t="s">
        <v>75</v>
      </c>
    </row>
    <row r="43" spans="1:8" x14ac:dyDescent="0.2">
      <c r="A43" s="3">
        <v>44751</v>
      </c>
      <c r="B43" t="s">
        <v>21</v>
      </c>
      <c r="C43" s="6" t="s">
        <v>82</v>
      </c>
      <c r="D43" s="6">
        <v>2</v>
      </c>
      <c r="E43" s="6" t="s">
        <v>36</v>
      </c>
      <c r="F43" s="3">
        <v>44817</v>
      </c>
      <c r="G43" s="5" t="s">
        <v>76</v>
      </c>
    </row>
    <row r="44" spans="1:8" x14ac:dyDescent="0.2">
      <c r="A44" s="3">
        <v>44751</v>
      </c>
      <c r="B44" t="s">
        <v>21</v>
      </c>
      <c r="C44" s="6" t="s">
        <v>82</v>
      </c>
      <c r="D44" s="6">
        <v>2</v>
      </c>
      <c r="E44" s="6" t="s">
        <v>37</v>
      </c>
      <c r="F44" s="3">
        <v>44817</v>
      </c>
      <c r="G44" t="s">
        <v>78</v>
      </c>
    </row>
    <row r="45" spans="1:8" x14ac:dyDescent="0.2">
      <c r="A45" s="3">
        <v>44751</v>
      </c>
      <c r="B45" t="s">
        <v>21</v>
      </c>
      <c r="C45" s="6" t="s">
        <v>82</v>
      </c>
      <c r="D45" s="6">
        <v>2</v>
      </c>
      <c r="E45" s="6" t="s">
        <v>38</v>
      </c>
      <c r="F45" s="3">
        <v>44817</v>
      </c>
      <c r="G45" s="5" t="s">
        <v>79</v>
      </c>
    </row>
    <row r="46" spans="1:8" x14ac:dyDescent="0.2">
      <c r="A46" s="3">
        <v>44751</v>
      </c>
      <c r="B46" t="s">
        <v>21</v>
      </c>
      <c r="C46" s="6" t="s">
        <v>82</v>
      </c>
      <c r="D46" s="6">
        <v>2</v>
      </c>
      <c r="E46" s="6" t="s">
        <v>39</v>
      </c>
      <c r="F46" s="3">
        <v>44817</v>
      </c>
      <c r="G46" t="s">
        <v>80</v>
      </c>
    </row>
    <row r="47" spans="1:8" x14ac:dyDescent="0.2">
      <c r="A47" s="3" t="s">
        <v>34</v>
      </c>
      <c r="B47" t="s">
        <v>9</v>
      </c>
      <c r="C47" s="6" t="s">
        <v>34</v>
      </c>
      <c r="D47" s="6" t="s">
        <v>34</v>
      </c>
      <c r="E47" s="6" t="s">
        <v>34</v>
      </c>
      <c r="F47" s="3">
        <v>44818</v>
      </c>
      <c r="G47" s="5" t="s">
        <v>83</v>
      </c>
    </row>
    <row r="48" spans="1:8" x14ac:dyDescent="0.2">
      <c r="A48" s="3" t="s">
        <v>34</v>
      </c>
      <c r="B48" t="s">
        <v>9</v>
      </c>
      <c r="C48" s="6" t="s">
        <v>34</v>
      </c>
      <c r="D48" s="6" t="s">
        <v>34</v>
      </c>
      <c r="E48" s="6" t="s">
        <v>34</v>
      </c>
      <c r="F48" s="3">
        <v>44818</v>
      </c>
      <c r="G48" t="s">
        <v>84</v>
      </c>
    </row>
    <row r="49" spans="1:8" x14ac:dyDescent="0.2">
      <c r="A49" s="3" t="s">
        <v>34</v>
      </c>
      <c r="B49" t="s">
        <v>9</v>
      </c>
      <c r="C49" s="6" t="s">
        <v>34</v>
      </c>
      <c r="D49" s="6" t="s">
        <v>34</v>
      </c>
      <c r="E49" s="6" t="s">
        <v>34</v>
      </c>
      <c r="F49" s="3">
        <v>44818</v>
      </c>
      <c r="G49" s="5" t="s">
        <v>85</v>
      </c>
    </row>
    <row r="50" spans="1:8" x14ac:dyDescent="0.2">
      <c r="A50" s="3" t="s">
        <v>34</v>
      </c>
      <c r="B50" t="s">
        <v>9</v>
      </c>
      <c r="C50" s="6" t="s">
        <v>34</v>
      </c>
      <c r="D50" s="6" t="s">
        <v>34</v>
      </c>
      <c r="E50" s="6" t="s">
        <v>34</v>
      </c>
      <c r="F50" s="3">
        <v>44818</v>
      </c>
      <c r="G50" s="5" t="s">
        <v>86</v>
      </c>
    </row>
    <row r="51" spans="1:8" x14ac:dyDescent="0.2">
      <c r="A51" s="3" t="s">
        <v>34</v>
      </c>
      <c r="B51" t="s">
        <v>9</v>
      </c>
      <c r="C51" s="6" t="s">
        <v>34</v>
      </c>
      <c r="D51" s="6" t="s">
        <v>34</v>
      </c>
      <c r="E51" s="6" t="s">
        <v>34</v>
      </c>
      <c r="F51" s="3">
        <v>44818</v>
      </c>
      <c r="G51" s="5" t="s">
        <v>87</v>
      </c>
    </row>
    <row r="52" spans="1:8" x14ac:dyDescent="0.2">
      <c r="A52" s="3">
        <v>44751</v>
      </c>
      <c r="B52" t="s">
        <v>21</v>
      </c>
      <c r="C52" s="6" t="s">
        <v>82</v>
      </c>
      <c r="D52" s="6">
        <v>3</v>
      </c>
      <c r="E52" s="6" t="s">
        <v>35</v>
      </c>
      <c r="F52" s="3">
        <v>44818</v>
      </c>
      <c r="G52" s="5" t="s">
        <v>88</v>
      </c>
      <c r="H52" s="7" t="s">
        <v>97</v>
      </c>
    </row>
    <row r="53" spans="1:8" x14ac:dyDescent="0.2">
      <c r="A53" s="3">
        <v>44751</v>
      </c>
      <c r="B53" t="s">
        <v>21</v>
      </c>
      <c r="C53" s="6" t="s">
        <v>82</v>
      </c>
      <c r="D53" s="6">
        <v>3</v>
      </c>
      <c r="E53" s="6" t="s">
        <v>36</v>
      </c>
      <c r="F53" s="3">
        <v>44818</v>
      </c>
      <c r="G53" s="5" t="s">
        <v>89</v>
      </c>
    </row>
    <row r="54" spans="1:8" x14ac:dyDescent="0.2">
      <c r="A54" s="3">
        <v>44751</v>
      </c>
      <c r="B54" t="s">
        <v>21</v>
      </c>
      <c r="C54" s="6" t="s">
        <v>82</v>
      </c>
      <c r="D54" s="6">
        <v>3</v>
      </c>
      <c r="E54" s="6" t="s">
        <v>37</v>
      </c>
      <c r="F54" s="3">
        <v>44818</v>
      </c>
      <c r="G54" s="5" t="s">
        <v>90</v>
      </c>
      <c r="H54" s="6"/>
    </row>
    <row r="55" spans="1:8" x14ac:dyDescent="0.2">
      <c r="A55" s="3">
        <v>44751</v>
      </c>
      <c r="B55" t="s">
        <v>21</v>
      </c>
      <c r="C55" s="6" t="s">
        <v>82</v>
      </c>
      <c r="D55" s="6">
        <v>3</v>
      </c>
      <c r="E55" s="6" t="s">
        <v>38</v>
      </c>
      <c r="F55" s="3">
        <v>44818</v>
      </c>
      <c r="G55" s="5" t="s">
        <v>91</v>
      </c>
      <c r="H55" s="6" t="s">
        <v>109</v>
      </c>
    </row>
    <row r="56" spans="1:8" x14ac:dyDescent="0.2">
      <c r="A56" s="3">
        <v>44751</v>
      </c>
      <c r="B56" t="s">
        <v>21</v>
      </c>
      <c r="C56" s="6" t="s">
        <v>82</v>
      </c>
      <c r="D56" s="6">
        <v>3</v>
      </c>
      <c r="E56" s="6" t="s">
        <v>39</v>
      </c>
      <c r="F56" s="3">
        <v>44818</v>
      </c>
      <c r="G56" s="5" t="s">
        <v>92</v>
      </c>
    </row>
    <row r="57" spans="1:8" x14ac:dyDescent="0.2">
      <c r="A57" s="3" t="s">
        <v>34</v>
      </c>
      <c r="B57" t="s">
        <v>9</v>
      </c>
      <c r="C57" s="6" t="s">
        <v>34</v>
      </c>
      <c r="D57" s="6" t="s">
        <v>34</v>
      </c>
      <c r="E57" s="6" t="s">
        <v>34</v>
      </c>
      <c r="F57" s="3">
        <v>44818</v>
      </c>
      <c r="G57" s="5" t="s">
        <v>95</v>
      </c>
    </row>
    <row r="58" spans="1:8" x14ac:dyDescent="0.2">
      <c r="A58" s="3">
        <v>44751</v>
      </c>
      <c r="B58" t="s">
        <v>21</v>
      </c>
      <c r="C58" s="6" t="s">
        <v>82</v>
      </c>
      <c r="D58" s="6">
        <v>4</v>
      </c>
      <c r="E58" s="6" t="s">
        <v>35</v>
      </c>
      <c r="F58" s="3">
        <v>44818</v>
      </c>
      <c r="G58" s="5" t="s">
        <v>98</v>
      </c>
    </row>
    <row r="59" spans="1:8" x14ac:dyDescent="0.2">
      <c r="A59" s="3">
        <v>44751</v>
      </c>
      <c r="B59" t="s">
        <v>21</v>
      </c>
      <c r="C59" s="6" t="s">
        <v>82</v>
      </c>
      <c r="D59" s="6">
        <v>4</v>
      </c>
      <c r="E59" s="6" t="s">
        <v>36</v>
      </c>
      <c r="F59" s="3">
        <v>44818</v>
      </c>
      <c r="G59" s="5" t="s">
        <v>99</v>
      </c>
    </row>
    <row r="60" spans="1:8" x14ac:dyDescent="0.2">
      <c r="A60" s="3">
        <v>44751</v>
      </c>
      <c r="B60" t="s">
        <v>21</v>
      </c>
      <c r="C60" s="6" t="s">
        <v>82</v>
      </c>
      <c r="D60" s="6">
        <v>4</v>
      </c>
      <c r="E60" s="6" t="s">
        <v>37</v>
      </c>
      <c r="F60" s="3">
        <v>44818</v>
      </c>
      <c r="G60" s="5" t="s">
        <v>100</v>
      </c>
    </row>
    <row r="61" spans="1:8" x14ac:dyDescent="0.2">
      <c r="A61" s="3">
        <v>44751</v>
      </c>
      <c r="B61" t="s">
        <v>21</v>
      </c>
      <c r="C61" s="6" t="s">
        <v>82</v>
      </c>
      <c r="D61" s="6">
        <v>4</v>
      </c>
      <c r="E61" s="6" t="s">
        <v>38</v>
      </c>
      <c r="F61" s="3">
        <v>44818</v>
      </c>
      <c r="G61" s="5" t="s">
        <v>101</v>
      </c>
    </row>
    <row r="62" spans="1:8" x14ac:dyDescent="0.2">
      <c r="A62" s="3">
        <v>44751</v>
      </c>
      <c r="B62" t="s">
        <v>21</v>
      </c>
      <c r="C62" s="6" t="s">
        <v>82</v>
      </c>
      <c r="D62" s="6">
        <v>4</v>
      </c>
      <c r="E62" s="6" t="s">
        <v>39</v>
      </c>
      <c r="F62" s="3">
        <v>44818</v>
      </c>
      <c r="G62" s="5" t="s">
        <v>102</v>
      </c>
    </row>
    <row r="63" spans="1:8" x14ac:dyDescent="0.2">
      <c r="A63" s="3">
        <v>44751</v>
      </c>
      <c r="B63" t="s">
        <v>21</v>
      </c>
      <c r="C63" s="6" t="s">
        <v>108</v>
      </c>
      <c r="D63" s="6">
        <v>1</v>
      </c>
      <c r="E63" s="6" t="s">
        <v>35</v>
      </c>
      <c r="F63" s="3">
        <v>44818</v>
      </c>
      <c r="G63" s="5" t="s">
        <v>103</v>
      </c>
      <c r="H63" s="7" t="s">
        <v>97</v>
      </c>
    </row>
    <row r="64" spans="1:8" x14ac:dyDescent="0.2">
      <c r="A64" s="3">
        <v>44751</v>
      </c>
      <c r="B64" t="s">
        <v>21</v>
      </c>
      <c r="C64" s="6" t="s">
        <v>108</v>
      </c>
      <c r="D64" s="6">
        <v>1</v>
      </c>
      <c r="E64" s="6" t="s">
        <v>36</v>
      </c>
      <c r="F64" s="3">
        <v>44818</v>
      </c>
      <c r="G64" s="5" t="s">
        <v>104</v>
      </c>
    </row>
    <row r="65" spans="1:7" x14ac:dyDescent="0.2">
      <c r="A65" s="3">
        <v>44751</v>
      </c>
      <c r="B65" t="s">
        <v>21</v>
      </c>
      <c r="C65" s="6" t="s">
        <v>108</v>
      </c>
      <c r="D65" s="6">
        <v>1</v>
      </c>
      <c r="E65" s="6" t="s">
        <v>37</v>
      </c>
      <c r="F65" s="3">
        <v>44818</v>
      </c>
      <c r="G65" s="5" t="s">
        <v>105</v>
      </c>
    </row>
    <row r="66" spans="1:7" x14ac:dyDescent="0.2">
      <c r="A66" s="3">
        <v>44751</v>
      </c>
      <c r="B66" t="s">
        <v>21</v>
      </c>
      <c r="C66" s="6" t="s">
        <v>108</v>
      </c>
      <c r="D66" s="6">
        <v>1</v>
      </c>
      <c r="E66" s="6" t="s">
        <v>38</v>
      </c>
      <c r="F66" s="3">
        <v>44818</v>
      </c>
      <c r="G66" s="5" t="s">
        <v>106</v>
      </c>
    </row>
    <row r="67" spans="1:7" x14ac:dyDescent="0.2">
      <c r="A67" s="3">
        <v>44751</v>
      </c>
      <c r="B67" t="s">
        <v>21</v>
      </c>
      <c r="C67" s="6" t="s">
        <v>108</v>
      </c>
      <c r="D67" s="6">
        <v>1</v>
      </c>
      <c r="E67" s="6" t="s">
        <v>39</v>
      </c>
      <c r="F67" s="3">
        <v>44818</v>
      </c>
      <c r="G67" s="5" t="s">
        <v>107</v>
      </c>
    </row>
    <row r="68" spans="1:7" x14ac:dyDescent="0.2">
      <c r="A68" s="3" t="s">
        <v>34</v>
      </c>
      <c r="B68" t="s">
        <v>9</v>
      </c>
      <c r="C68" s="6" t="s">
        <v>34</v>
      </c>
      <c r="D68" s="6" t="s">
        <v>34</v>
      </c>
      <c r="E68" s="6" t="s">
        <v>34</v>
      </c>
      <c r="F68" s="3">
        <v>44818</v>
      </c>
      <c r="G68" s="5" t="s">
        <v>110</v>
      </c>
    </row>
    <row r="69" spans="1:7" x14ac:dyDescent="0.2">
      <c r="A69" s="3" t="s">
        <v>34</v>
      </c>
      <c r="B69" t="s">
        <v>9</v>
      </c>
      <c r="C69" s="6" t="s">
        <v>34</v>
      </c>
      <c r="D69" s="6" t="s">
        <v>34</v>
      </c>
      <c r="E69" s="6" t="s">
        <v>34</v>
      </c>
      <c r="F69" s="3">
        <v>44819</v>
      </c>
      <c r="G69" s="5" t="s">
        <v>113</v>
      </c>
    </row>
    <row r="70" spans="1:7" x14ac:dyDescent="0.2">
      <c r="A70" s="3" t="s">
        <v>34</v>
      </c>
      <c r="B70" t="s">
        <v>9</v>
      </c>
      <c r="C70" s="6" t="s">
        <v>34</v>
      </c>
      <c r="D70" s="6" t="s">
        <v>34</v>
      </c>
      <c r="E70" s="6" t="s">
        <v>34</v>
      </c>
      <c r="F70" s="3">
        <v>44819</v>
      </c>
      <c r="G70" s="5" t="s">
        <v>114</v>
      </c>
    </row>
    <row r="71" spans="1:7" x14ac:dyDescent="0.2">
      <c r="A71" s="3" t="s">
        <v>34</v>
      </c>
      <c r="B71" t="s">
        <v>9</v>
      </c>
      <c r="C71" s="6" t="s">
        <v>34</v>
      </c>
      <c r="D71" s="6" t="s">
        <v>34</v>
      </c>
      <c r="E71" s="6" t="s">
        <v>34</v>
      </c>
      <c r="F71" s="3">
        <v>44819</v>
      </c>
      <c r="G71" s="5" t="s">
        <v>115</v>
      </c>
    </row>
    <row r="72" spans="1:7" x14ac:dyDescent="0.2">
      <c r="A72" s="3" t="s">
        <v>34</v>
      </c>
      <c r="B72" t="s">
        <v>9</v>
      </c>
      <c r="C72" s="6" t="s">
        <v>34</v>
      </c>
      <c r="D72" s="6" t="s">
        <v>34</v>
      </c>
      <c r="E72" s="6" t="s">
        <v>34</v>
      </c>
      <c r="F72" s="3">
        <v>44819</v>
      </c>
      <c r="G72" s="5" t="s">
        <v>116</v>
      </c>
    </row>
    <row r="73" spans="1:7" x14ac:dyDescent="0.2">
      <c r="A73" s="3" t="s">
        <v>34</v>
      </c>
      <c r="B73" t="s">
        <v>9</v>
      </c>
      <c r="C73" s="6" t="s">
        <v>34</v>
      </c>
      <c r="D73" s="6" t="s">
        <v>34</v>
      </c>
      <c r="E73" s="6" t="s">
        <v>34</v>
      </c>
      <c r="F73" s="3">
        <v>44819</v>
      </c>
      <c r="G73" s="5" t="s">
        <v>117</v>
      </c>
    </row>
    <row r="74" spans="1:7" x14ac:dyDescent="0.2">
      <c r="A74" s="3" t="s">
        <v>34</v>
      </c>
      <c r="B74" t="s">
        <v>9</v>
      </c>
      <c r="C74" s="6" t="s">
        <v>34</v>
      </c>
      <c r="D74" s="6" t="s">
        <v>34</v>
      </c>
      <c r="E74" s="6" t="s">
        <v>34</v>
      </c>
      <c r="F74" s="3">
        <v>44819</v>
      </c>
      <c r="G74" s="5" t="s">
        <v>118</v>
      </c>
    </row>
    <row r="75" spans="1:7" x14ac:dyDescent="0.2">
      <c r="A75" s="3" t="s">
        <v>34</v>
      </c>
      <c r="B75" t="s">
        <v>9</v>
      </c>
      <c r="C75" s="6" t="s">
        <v>34</v>
      </c>
      <c r="D75" s="6" t="s">
        <v>34</v>
      </c>
      <c r="E75" s="6" t="s">
        <v>34</v>
      </c>
      <c r="F75" s="3">
        <v>44819</v>
      </c>
      <c r="G75" s="5" t="s">
        <v>111</v>
      </c>
    </row>
    <row r="76" spans="1:7" x14ac:dyDescent="0.2">
      <c r="A76" s="3" t="s">
        <v>34</v>
      </c>
      <c r="B76" t="s">
        <v>9</v>
      </c>
      <c r="C76" s="6" t="s">
        <v>34</v>
      </c>
      <c r="D76" s="6" t="s">
        <v>34</v>
      </c>
      <c r="E76" s="6" t="s">
        <v>34</v>
      </c>
      <c r="F76" s="3">
        <v>44819</v>
      </c>
      <c r="G76" s="5" t="s">
        <v>120</v>
      </c>
    </row>
    <row r="77" spans="1:7" x14ac:dyDescent="0.2">
      <c r="A77" s="3" t="s">
        <v>34</v>
      </c>
      <c r="B77" t="s">
        <v>9</v>
      </c>
      <c r="C77" s="6" t="s">
        <v>34</v>
      </c>
      <c r="D77" s="6" t="s">
        <v>34</v>
      </c>
      <c r="E77" s="6" t="s">
        <v>34</v>
      </c>
      <c r="F77" s="3">
        <v>44819</v>
      </c>
      <c r="G77" s="5" t="s">
        <v>121</v>
      </c>
    </row>
    <row r="78" spans="1:7" x14ac:dyDescent="0.2">
      <c r="A78" s="3" t="s">
        <v>34</v>
      </c>
      <c r="B78" t="s">
        <v>9</v>
      </c>
      <c r="C78" s="6" t="s">
        <v>34</v>
      </c>
      <c r="D78" s="6" t="s">
        <v>34</v>
      </c>
      <c r="E78" s="6" t="s">
        <v>34</v>
      </c>
      <c r="F78" s="3">
        <v>44819</v>
      </c>
      <c r="G78" s="5" t="s">
        <v>112</v>
      </c>
    </row>
    <row r="79" spans="1:7" x14ac:dyDescent="0.2">
      <c r="A79" s="3" t="s">
        <v>34</v>
      </c>
      <c r="B79" t="s">
        <v>9</v>
      </c>
      <c r="C79" s="6" t="s">
        <v>34</v>
      </c>
      <c r="D79" s="6" t="s">
        <v>34</v>
      </c>
      <c r="E79" s="6" t="s">
        <v>34</v>
      </c>
      <c r="F79" s="3">
        <v>44819</v>
      </c>
      <c r="G79" s="5" t="s">
        <v>122</v>
      </c>
    </row>
    <row r="80" spans="1:7" x14ac:dyDescent="0.2">
      <c r="A80" s="3" t="s">
        <v>34</v>
      </c>
      <c r="B80" t="s">
        <v>9</v>
      </c>
      <c r="C80" s="6" t="s">
        <v>34</v>
      </c>
      <c r="D80" s="6" t="s">
        <v>34</v>
      </c>
      <c r="E80" s="6" t="s">
        <v>34</v>
      </c>
      <c r="F80" s="3">
        <v>44819</v>
      </c>
      <c r="G80" s="5" t="s">
        <v>123</v>
      </c>
    </row>
    <row r="81" spans="1:8" x14ac:dyDescent="0.2">
      <c r="A81" s="3" t="s">
        <v>34</v>
      </c>
      <c r="B81" t="s">
        <v>9</v>
      </c>
      <c r="C81" s="6" t="s">
        <v>34</v>
      </c>
      <c r="D81" s="6" t="s">
        <v>34</v>
      </c>
      <c r="E81" s="6" t="s">
        <v>34</v>
      </c>
      <c r="F81" s="3">
        <v>44819</v>
      </c>
      <c r="G81" s="5" t="s">
        <v>124</v>
      </c>
    </row>
    <row r="82" spans="1:8" x14ac:dyDescent="0.2">
      <c r="A82" s="3">
        <v>44751</v>
      </c>
      <c r="B82" t="s">
        <v>21</v>
      </c>
      <c r="C82" s="6" t="s">
        <v>108</v>
      </c>
      <c r="D82" s="6">
        <v>2</v>
      </c>
      <c r="E82" s="6" t="s">
        <v>35</v>
      </c>
      <c r="F82" s="3">
        <v>44819</v>
      </c>
      <c r="G82" s="5" t="s">
        <v>125</v>
      </c>
    </row>
    <row r="83" spans="1:8" x14ac:dyDescent="0.2">
      <c r="A83" s="3">
        <v>44751</v>
      </c>
      <c r="B83" t="s">
        <v>21</v>
      </c>
      <c r="C83" s="6" t="s">
        <v>108</v>
      </c>
      <c r="D83" s="6">
        <v>2</v>
      </c>
      <c r="E83" s="6" t="s">
        <v>36</v>
      </c>
      <c r="F83" s="3">
        <v>44819</v>
      </c>
      <c r="G83" s="5" t="s">
        <v>126</v>
      </c>
    </row>
    <row r="84" spans="1:8" x14ac:dyDescent="0.2">
      <c r="A84" s="3">
        <v>44751</v>
      </c>
      <c r="B84" t="s">
        <v>21</v>
      </c>
      <c r="C84" s="6" t="s">
        <v>108</v>
      </c>
      <c r="D84" s="6">
        <v>2</v>
      </c>
      <c r="E84" s="6" t="s">
        <v>37</v>
      </c>
      <c r="F84" s="3">
        <v>44819</v>
      </c>
      <c r="G84" s="5" t="s">
        <v>127</v>
      </c>
    </row>
    <row r="85" spans="1:8" x14ac:dyDescent="0.2">
      <c r="A85" s="3">
        <v>44751</v>
      </c>
      <c r="B85" t="s">
        <v>21</v>
      </c>
      <c r="C85" s="6" t="s">
        <v>108</v>
      </c>
      <c r="D85" s="6">
        <v>2</v>
      </c>
      <c r="E85" s="6" t="s">
        <v>38</v>
      </c>
      <c r="F85" s="3">
        <v>44819</v>
      </c>
      <c r="G85" s="5" t="s">
        <v>119</v>
      </c>
    </row>
    <row r="86" spans="1:8" x14ac:dyDescent="0.2">
      <c r="A86" s="3">
        <v>44751</v>
      </c>
      <c r="B86" t="s">
        <v>21</v>
      </c>
      <c r="C86" s="6" t="s">
        <v>108</v>
      </c>
      <c r="D86" s="6">
        <v>2</v>
      </c>
      <c r="E86" s="6" t="s">
        <v>39</v>
      </c>
      <c r="F86" s="3">
        <v>44819</v>
      </c>
      <c r="G86" s="5" t="s">
        <v>128</v>
      </c>
    </row>
    <row r="87" spans="1:8" x14ac:dyDescent="0.2">
      <c r="A87" s="3">
        <v>44751</v>
      </c>
      <c r="B87" t="s">
        <v>21</v>
      </c>
      <c r="C87" s="6" t="s">
        <v>108</v>
      </c>
      <c r="D87" s="6">
        <v>3</v>
      </c>
      <c r="E87" s="6" t="s">
        <v>35</v>
      </c>
      <c r="F87" s="3">
        <v>44819</v>
      </c>
      <c r="G87" s="5" t="s">
        <v>129</v>
      </c>
      <c r="H87" s="7" t="s">
        <v>97</v>
      </c>
    </row>
    <row r="88" spans="1:8" x14ac:dyDescent="0.2">
      <c r="A88" s="3">
        <v>44751</v>
      </c>
      <c r="B88" t="s">
        <v>21</v>
      </c>
      <c r="C88" s="6" t="s">
        <v>108</v>
      </c>
      <c r="D88" s="6">
        <v>3</v>
      </c>
      <c r="E88" s="6" t="s">
        <v>36</v>
      </c>
      <c r="F88" s="3">
        <v>44819</v>
      </c>
      <c r="G88" s="5" t="s">
        <v>130</v>
      </c>
    </row>
    <row r="89" spans="1:8" x14ac:dyDescent="0.2">
      <c r="A89" s="3">
        <v>44751</v>
      </c>
      <c r="B89" t="s">
        <v>21</v>
      </c>
      <c r="C89" s="6" t="s">
        <v>108</v>
      </c>
      <c r="D89" s="6">
        <v>3</v>
      </c>
      <c r="E89" s="6" t="s">
        <v>37</v>
      </c>
      <c r="F89" s="3">
        <v>44819</v>
      </c>
      <c r="G89" s="5" t="s">
        <v>131</v>
      </c>
    </row>
    <row r="90" spans="1:8" x14ac:dyDescent="0.2">
      <c r="A90" s="3">
        <v>44751</v>
      </c>
      <c r="B90" t="s">
        <v>21</v>
      </c>
      <c r="C90" s="6" t="s">
        <v>108</v>
      </c>
      <c r="D90" s="6">
        <v>3</v>
      </c>
      <c r="E90" s="6" t="s">
        <v>38</v>
      </c>
      <c r="F90" s="3">
        <v>44819</v>
      </c>
      <c r="G90" s="5" t="s">
        <v>132</v>
      </c>
    </row>
    <row r="91" spans="1:8" x14ac:dyDescent="0.2">
      <c r="A91" s="3">
        <v>44751</v>
      </c>
      <c r="B91" t="s">
        <v>21</v>
      </c>
      <c r="C91" s="6" t="s">
        <v>108</v>
      </c>
      <c r="D91" s="6">
        <v>3</v>
      </c>
      <c r="E91" s="6" t="s">
        <v>39</v>
      </c>
      <c r="F91" s="3">
        <v>44819</v>
      </c>
      <c r="G91" s="5" t="s">
        <v>133</v>
      </c>
    </row>
    <row r="92" spans="1:8" x14ac:dyDescent="0.2">
      <c r="A92" s="3" t="s">
        <v>34</v>
      </c>
      <c r="B92" t="s">
        <v>9</v>
      </c>
      <c r="C92" s="6" t="s">
        <v>34</v>
      </c>
      <c r="D92" s="6" t="s">
        <v>34</v>
      </c>
      <c r="E92" s="6" t="s">
        <v>34</v>
      </c>
      <c r="F92" s="3">
        <v>44819</v>
      </c>
      <c r="G92" s="5" t="s">
        <v>134</v>
      </c>
    </row>
    <row r="93" spans="1:8" x14ac:dyDescent="0.2">
      <c r="A93" s="3" t="s">
        <v>34</v>
      </c>
      <c r="B93" t="s">
        <v>9</v>
      </c>
      <c r="C93" s="6" t="s">
        <v>34</v>
      </c>
      <c r="D93" s="6" t="s">
        <v>34</v>
      </c>
      <c r="E93" s="6" t="s">
        <v>34</v>
      </c>
      <c r="F93" s="3">
        <v>44824</v>
      </c>
      <c r="G93" s="5" t="s">
        <v>135</v>
      </c>
    </row>
    <row r="94" spans="1:8" x14ac:dyDescent="0.2">
      <c r="A94" s="3" t="s">
        <v>34</v>
      </c>
      <c r="B94" t="s">
        <v>9</v>
      </c>
      <c r="C94" s="6" t="s">
        <v>34</v>
      </c>
      <c r="D94" s="6" t="s">
        <v>34</v>
      </c>
      <c r="E94" s="6" t="s">
        <v>34</v>
      </c>
      <c r="F94" s="3">
        <v>44824</v>
      </c>
      <c r="G94" s="5" t="s">
        <v>136</v>
      </c>
    </row>
    <row r="95" spans="1:8" x14ac:dyDescent="0.2">
      <c r="A95" s="3" t="s">
        <v>34</v>
      </c>
      <c r="B95" t="s">
        <v>9</v>
      </c>
      <c r="C95" s="6" t="s">
        <v>34</v>
      </c>
      <c r="D95" s="6" t="s">
        <v>34</v>
      </c>
      <c r="E95" s="6" t="s">
        <v>34</v>
      </c>
      <c r="F95" s="3">
        <v>44824</v>
      </c>
      <c r="G95" s="5" t="s">
        <v>137</v>
      </c>
    </row>
    <row r="96" spans="1:8" x14ac:dyDescent="0.2">
      <c r="A96" s="3" t="s">
        <v>34</v>
      </c>
      <c r="B96" t="s">
        <v>9</v>
      </c>
      <c r="C96" s="6" t="s">
        <v>34</v>
      </c>
      <c r="D96" s="6" t="s">
        <v>34</v>
      </c>
      <c r="E96" s="6" t="s">
        <v>34</v>
      </c>
      <c r="F96" s="3">
        <v>44824</v>
      </c>
      <c r="G96" s="5" t="s">
        <v>138</v>
      </c>
    </row>
    <row r="97" spans="1:8" x14ac:dyDescent="0.2">
      <c r="A97" s="3" t="s">
        <v>34</v>
      </c>
      <c r="B97" t="s">
        <v>9</v>
      </c>
      <c r="C97" s="6" t="s">
        <v>34</v>
      </c>
      <c r="D97" s="6" t="s">
        <v>34</v>
      </c>
      <c r="E97" s="6" t="s">
        <v>34</v>
      </c>
      <c r="F97" s="3">
        <v>44824</v>
      </c>
      <c r="G97" s="5" t="s">
        <v>139</v>
      </c>
    </row>
    <row r="98" spans="1:8" x14ac:dyDescent="0.2">
      <c r="A98" s="3">
        <v>44751</v>
      </c>
      <c r="B98" t="s">
        <v>21</v>
      </c>
      <c r="C98" s="6" t="s">
        <v>108</v>
      </c>
      <c r="D98" s="6">
        <v>4</v>
      </c>
      <c r="E98" s="6" t="s">
        <v>35</v>
      </c>
      <c r="F98" s="3">
        <v>44824</v>
      </c>
      <c r="G98" s="5" t="s">
        <v>140</v>
      </c>
    </row>
    <row r="99" spans="1:8" x14ac:dyDescent="0.2">
      <c r="A99" s="3">
        <v>44751</v>
      </c>
      <c r="B99" t="s">
        <v>21</v>
      </c>
      <c r="C99" s="6" t="s">
        <v>108</v>
      </c>
      <c r="D99" s="6">
        <v>4</v>
      </c>
      <c r="E99" s="6" t="s">
        <v>36</v>
      </c>
      <c r="F99" s="3">
        <v>44824</v>
      </c>
      <c r="G99" s="5" t="s">
        <v>141</v>
      </c>
    </row>
    <row r="100" spans="1:8" x14ac:dyDescent="0.2">
      <c r="A100" s="3">
        <v>44751</v>
      </c>
      <c r="B100" t="s">
        <v>21</v>
      </c>
      <c r="C100" s="6" t="s">
        <v>108</v>
      </c>
      <c r="D100" s="6">
        <v>4</v>
      </c>
      <c r="E100" s="6" t="s">
        <v>37</v>
      </c>
      <c r="F100" s="3">
        <v>44824</v>
      </c>
      <c r="G100" s="5" t="s">
        <v>142</v>
      </c>
    </row>
    <row r="101" spans="1:8" x14ac:dyDescent="0.2">
      <c r="A101" s="3">
        <v>44751</v>
      </c>
      <c r="B101" t="s">
        <v>21</v>
      </c>
      <c r="C101" s="6" t="s">
        <v>108</v>
      </c>
      <c r="D101" s="6">
        <v>4</v>
      </c>
      <c r="E101" s="6" t="s">
        <v>38</v>
      </c>
      <c r="F101" s="3">
        <v>44824</v>
      </c>
      <c r="G101" s="5" t="s">
        <v>143</v>
      </c>
    </row>
    <row r="102" spans="1:8" x14ac:dyDescent="0.2">
      <c r="A102" s="3">
        <v>44751</v>
      </c>
      <c r="B102" t="s">
        <v>21</v>
      </c>
      <c r="C102" s="6" t="s">
        <v>108</v>
      </c>
      <c r="D102" s="6">
        <v>4</v>
      </c>
      <c r="E102" s="6" t="s">
        <v>39</v>
      </c>
      <c r="F102" s="3">
        <v>44824</v>
      </c>
      <c r="G102" s="5" t="s">
        <v>145</v>
      </c>
    </row>
    <row r="103" spans="1:8" x14ac:dyDescent="0.2">
      <c r="A103" s="3">
        <v>44751</v>
      </c>
      <c r="B103" t="s">
        <v>21</v>
      </c>
      <c r="C103" s="6" t="s">
        <v>144</v>
      </c>
      <c r="D103" s="6">
        <v>1</v>
      </c>
      <c r="E103" s="6" t="s">
        <v>35</v>
      </c>
      <c r="F103" s="3">
        <v>44824</v>
      </c>
      <c r="G103" s="5" t="s">
        <v>146</v>
      </c>
      <c r="H103" s="7" t="s">
        <v>97</v>
      </c>
    </row>
    <row r="104" spans="1:8" x14ac:dyDescent="0.2">
      <c r="A104" s="3">
        <v>44751</v>
      </c>
      <c r="B104" t="s">
        <v>21</v>
      </c>
      <c r="C104" s="6" t="s">
        <v>144</v>
      </c>
      <c r="D104" s="6">
        <v>1</v>
      </c>
      <c r="E104" s="6" t="s">
        <v>36</v>
      </c>
      <c r="F104" s="3">
        <v>44824</v>
      </c>
      <c r="G104" s="5" t="s">
        <v>147</v>
      </c>
    </row>
    <row r="105" spans="1:8" x14ac:dyDescent="0.2">
      <c r="A105" s="3">
        <v>44751</v>
      </c>
      <c r="B105" t="s">
        <v>21</v>
      </c>
      <c r="C105" s="6" t="s">
        <v>144</v>
      </c>
      <c r="D105" s="6">
        <v>1</v>
      </c>
      <c r="E105" s="6" t="s">
        <v>37</v>
      </c>
      <c r="F105" s="3">
        <v>44824</v>
      </c>
      <c r="G105" s="5" t="s">
        <v>148</v>
      </c>
    </row>
    <row r="106" spans="1:8" x14ac:dyDescent="0.2">
      <c r="A106" s="3">
        <v>44751</v>
      </c>
      <c r="B106" t="s">
        <v>21</v>
      </c>
      <c r="C106" s="6" t="s">
        <v>144</v>
      </c>
      <c r="D106" s="6">
        <v>1</v>
      </c>
      <c r="E106" s="6" t="s">
        <v>38</v>
      </c>
      <c r="F106" s="3">
        <v>44824</v>
      </c>
      <c r="G106" s="5" t="s">
        <v>149</v>
      </c>
    </row>
    <row r="107" spans="1:8" x14ac:dyDescent="0.2">
      <c r="A107" s="3">
        <v>44751</v>
      </c>
      <c r="B107" t="s">
        <v>21</v>
      </c>
      <c r="C107" s="6" t="s">
        <v>144</v>
      </c>
      <c r="D107" s="6">
        <v>1</v>
      </c>
      <c r="E107" s="6" t="s">
        <v>39</v>
      </c>
      <c r="F107" s="3">
        <v>44824</v>
      </c>
      <c r="G107" s="5" t="s">
        <v>150</v>
      </c>
    </row>
    <row r="108" spans="1:8" x14ac:dyDescent="0.2">
      <c r="A108" s="3" t="s">
        <v>34</v>
      </c>
      <c r="B108" t="s">
        <v>9</v>
      </c>
      <c r="C108" s="6" t="s">
        <v>34</v>
      </c>
      <c r="D108" s="6" t="s">
        <v>34</v>
      </c>
      <c r="E108" s="6" t="s">
        <v>34</v>
      </c>
      <c r="F108" s="3">
        <v>44824</v>
      </c>
      <c r="G108" s="5" t="s">
        <v>151</v>
      </c>
    </row>
    <row r="109" spans="1:8" x14ac:dyDescent="0.2">
      <c r="A109" s="3">
        <v>44751</v>
      </c>
      <c r="B109" t="s">
        <v>21</v>
      </c>
      <c r="C109" s="6" t="s">
        <v>144</v>
      </c>
      <c r="D109" s="6">
        <v>2</v>
      </c>
      <c r="E109" s="6" t="s">
        <v>35</v>
      </c>
      <c r="F109" s="3">
        <v>44824</v>
      </c>
      <c r="G109" s="5" t="s">
        <v>152</v>
      </c>
    </row>
    <row r="110" spans="1:8" x14ac:dyDescent="0.2">
      <c r="A110" s="3">
        <v>44751</v>
      </c>
      <c r="B110" t="s">
        <v>21</v>
      </c>
      <c r="C110" s="6" t="s">
        <v>144</v>
      </c>
      <c r="D110" s="6">
        <v>2</v>
      </c>
      <c r="E110" s="6" t="s">
        <v>36</v>
      </c>
      <c r="F110" s="3">
        <v>44824</v>
      </c>
      <c r="G110" s="5" t="s">
        <v>153</v>
      </c>
    </row>
    <row r="111" spans="1:8" x14ac:dyDescent="0.2">
      <c r="A111" s="3">
        <v>44751</v>
      </c>
      <c r="B111" t="s">
        <v>21</v>
      </c>
      <c r="C111" s="6" t="s">
        <v>144</v>
      </c>
      <c r="D111" s="6">
        <v>2</v>
      </c>
      <c r="E111" s="6" t="s">
        <v>37</v>
      </c>
      <c r="F111" s="3">
        <v>44824</v>
      </c>
      <c r="G111" s="5" t="s">
        <v>154</v>
      </c>
    </row>
    <row r="112" spans="1:8" x14ac:dyDescent="0.2">
      <c r="A112" s="3">
        <v>44751</v>
      </c>
      <c r="B112" t="s">
        <v>21</v>
      </c>
      <c r="C112" s="6" t="s">
        <v>144</v>
      </c>
      <c r="D112" s="6">
        <v>2</v>
      </c>
      <c r="E112" s="6" t="s">
        <v>38</v>
      </c>
      <c r="F112" s="3">
        <v>44824</v>
      </c>
      <c r="G112" s="5" t="s">
        <v>155</v>
      </c>
    </row>
    <row r="113" spans="1:8" x14ac:dyDescent="0.2">
      <c r="A113" s="3">
        <v>44751</v>
      </c>
      <c r="B113" t="s">
        <v>21</v>
      </c>
      <c r="C113" s="6" t="s">
        <v>144</v>
      </c>
      <c r="D113" s="6">
        <v>2</v>
      </c>
      <c r="E113" s="6" t="s">
        <v>39</v>
      </c>
      <c r="F113" s="3">
        <v>44824</v>
      </c>
      <c r="G113" s="5" t="s">
        <v>156</v>
      </c>
    </row>
    <row r="114" spans="1:8" x14ac:dyDescent="0.2">
      <c r="A114" s="3">
        <v>44751</v>
      </c>
      <c r="B114" t="s">
        <v>21</v>
      </c>
      <c r="C114" s="6" t="s">
        <v>144</v>
      </c>
      <c r="D114" s="6">
        <v>3</v>
      </c>
      <c r="E114" s="6" t="s">
        <v>35</v>
      </c>
      <c r="F114" s="3">
        <v>44824</v>
      </c>
      <c r="G114" s="5" t="s">
        <v>157</v>
      </c>
      <c r="H114" s="7" t="s">
        <v>97</v>
      </c>
    </row>
    <row r="115" spans="1:8" x14ac:dyDescent="0.2">
      <c r="A115" s="3">
        <v>44751</v>
      </c>
      <c r="B115" t="s">
        <v>21</v>
      </c>
      <c r="C115" s="6" t="s">
        <v>144</v>
      </c>
      <c r="D115" s="6">
        <v>3</v>
      </c>
      <c r="E115" s="6" t="s">
        <v>36</v>
      </c>
      <c r="F115" s="3">
        <v>44824</v>
      </c>
      <c r="G115" s="5" t="s">
        <v>158</v>
      </c>
    </row>
    <row r="116" spans="1:8" x14ac:dyDescent="0.2">
      <c r="A116" s="3">
        <v>44751</v>
      </c>
      <c r="B116" t="s">
        <v>21</v>
      </c>
      <c r="C116" s="6" t="s">
        <v>144</v>
      </c>
      <c r="D116" s="6">
        <v>3</v>
      </c>
      <c r="E116" s="6" t="s">
        <v>37</v>
      </c>
      <c r="F116" s="3">
        <v>44824</v>
      </c>
      <c r="G116" s="5" t="s">
        <v>159</v>
      </c>
    </row>
    <row r="117" spans="1:8" x14ac:dyDescent="0.2">
      <c r="A117" s="3">
        <v>44751</v>
      </c>
      <c r="B117" t="s">
        <v>21</v>
      </c>
      <c r="C117" s="6" t="s">
        <v>144</v>
      </c>
      <c r="D117" s="6">
        <v>3</v>
      </c>
      <c r="E117" s="6" t="s">
        <v>38</v>
      </c>
      <c r="F117" s="3">
        <v>44824</v>
      </c>
      <c r="G117" s="5" t="s">
        <v>160</v>
      </c>
    </row>
    <row r="118" spans="1:8" x14ac:dyDescent="0.2">
      <c r="A118" s="3">
        <v>44751</v>
      </c>
      <c r="B118" t="s">
        <v>21</v>
      </c>
      <c r="C118" s="6" t="s">
        <v>144</v>
      </c>
      <c r="D118" s="6">
        <v>3</v>
      </c>
      <c r="E118" s="6" t="s">
        <v>39</v>
      </c>
      <c r="F118" s="3">
        <v>44824</v>
      </c>
      <c r="G118" s="5" t="s">
        <v>161</v>
      </c>
    </row>
    <row r="119" spans="1:8" x14ac:dyDescent="0.2">
      <c r="A119" s="3" t="s">
        <v>34</v>
      </c>
      <c r="B119" t="s">
        <v>9</v>
      </c>
      <c r="C119" s="6" t="s">
        <v>34</v>
      </c>
      <c r="D119" s="6" t="s">
        <v>34</v>
      </c>
      <c r="E119" s="6" t="s">
        <v>34</v>
      </c>
      <c r="F119" s="3">
        <v>44824</v>
      </c>
      <c r="G119" s="5" t="s">
        <v>162</v>
      </c>
    </row>
    <row r="120" spans="1:8" x14ac:dyDescent="0.2">
      <c r="A120" s="3">
        <v>44751</v>
      </c>
      <c r="B120" t="s">
        <v>21</v>
      </c>
      <c r="C120" s="6" t="s">
        <v>144</v>
      </c>
      <c r="D120" s="6">
        <v>4</v>
      </c>
      <c r="E120" s="6" t="s">
        <v>35</v>
      </c>
      <c r="F120" s="3">
        <v>44824</v>
      </c>
      <c r="G120" s="5" t="s">
        <v>163</v>
      </c>
    </row>
    <row r="121" spans="1:8" x14ac:dyDescent="0.2">
      <c r="A121" s="3">
        <v>44751</v>
      </c>
      <c r="B121" t="s">
        <v>21</v>
      </c>
      <c r="C121" s="6" t="s">
        <v>144</v>
      </c>
      <c r="D121" s="6">
        <v>4</v>
      </c>
      <c r="E121" s="6" t="s">
        <v>36</v>
      </c>
      <c r="F121" s="3">
        <v>44824</v>
      </c>
      <c r="G121" s="5" t="s">
        <v>164</v>
      </c>
    </row>
    <row r="122" spans="1:8" x14ac:dyDescent="0.2">
      <c r="A122" s="3">
        <v>44751</v>
      </c>
      <c r="B122" t="s">
        <v>21</v>
      </c>
      <c r="C122" s="6" t="s">
        <v>144</v>
      </c>
      <c r="D122" s="6">
        <v>4</v>
      </c>
      <c r="E122" s="6" t="s">
        <v>37</v>
      </c>
      <c r="F122" s="3">
        <v>44824</v>
      </c>
      <c r="G122" s="5" t="s">
        <v>165</v>
      </c>
    </row>
    <row r="123" spans="1:8" x14ac:dyDescent="0.2">
      <c r="A123" s="3">
        <v>44751</v>
      </c>
      <c r="B123" t="s">
        <v>21</v>
      </c>
      <c r="C123" s="6" t="s">
        <v>144</v>
      </c>
      <c r="D123" s="6">
        <v>4</v>
      </c>
      <c r="E123" s="6" t="s">
        <v>38</v>
      </c>
      <c r="F123" s="3">
        <v>44824</v>
      </c>
      <c r="G123" s="5" t="s">
        <v>166</v>
      </c>
    </row>
    <row r="124" spans="1:8" x14ac:dyDescent="0.2">
      <c r="A124" s="3">
        <v>44751</v>
      </c>
      <c r="B124" t="s">
        <v>21</v>
      </c>
      <c r="C124" s="6" t="s">
        <v>144</v>
      </c>
      <c r="D124" s="6">
        <v>4</v>
      </c>
      <c r="E124" s="6" t="s">
        <v>39</v>
      </c>
      <c r="F124" s="3">
        <v>44824</v>
      </c>
      <c r="G124" s="5" t="s">
        <v>167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precision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McNicol</dc:creator>
  <cp:lastModifiedBy>Microsoft Office User</cp:lastModifiedBy>
  <dcterms:created xsi:type="dcterms:W3CDTF">2015-06-05T18:17:20Z</dcterms:created>
  <dcterms:modified xsi:type="dcterms:W3CDTF">2023-03-24T22:00:35Z</dcterms:modified>
</cp:coreProperties>
</file>