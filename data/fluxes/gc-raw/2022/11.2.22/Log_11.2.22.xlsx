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precison" sheetId="2" r:id="rId5"/>
  </sheets>
  <definedNames/>
  <calcPr/>
  <extLst>
    <ext uri="GoogleSheetsCustomDataVersion1">
      <go:sheetsCustomData xmlns:go="http://customooxmlschemas.google.com/" r:id="rId6" roundtripDataSignature="AMtx7mg+B2yUePAB5sRYxrpmBLzUrKgJMA=="/>
    </ext>
  </extLst>
</workbook>
</file>

<file path=xl/sharedStrings.xml><?xml version="1.0" encoding="utf-8"?>
<sst xmlns="http://schemas.openxmlformats.org/spreadsheetml/2006/main" count="590" uniqueCount="141">
  <si>
    <t>DATE COLLECTED</t>
  </si>
  <si>
    <t xml:space="preserve">SITE </t>
  </si>
  <si>
    <t>ECOSYSTEM</t>
  </si>
  <si>
    <t>CHAMBER #</t>
  </si>
  <si>
    <t>TIME POINT</t>
  </si>
  <si>
    <t>GC RUN DATE</t>
  </si>
  <si>
    <t>FILENAME</t>
  </si>
  <si>
    <t>NOTES</t>
  </si>
  <si>
    <t>JWP</t>
  </si>
  <si>
    <t>SW-1</t>
  </si>
  <si>
    <t>T0</t>
  </si>
  <si>
    <t>221102_001</t>
  </si>
  <si>
    <t>T1</t>
  </si>
  <si>
    <t>221102_002</t>
  </si>
  <si>
    <t>T2</t>
  </si>
  <si>
    <t>221102_003</t>
  </si>
  <si>
    <t>T3</t>
  </si>
  <si>
    <t>221102_004</t>
  </si>
  <si>
    <t>T4</t>
  </si>
  <si>
    <t>221102_005</t>
  </si>
  <si>
    <t>N/A</t>
  </si>
  <si>
    <t>STD</t>
  </si>
  <si>
    <t>221102_006</t>
  </si>
  <si>
    <t>221102_007</t>
  </si>
  <si>
    <t>221102_008</t>
  </si>
  <si>
    <t>221102_009</t>
  </si>
  <si>
    <t>221102_010</t>
  </si>
  <si>
    <t>221102_011</t>
  </si>
  <si>
    <t>221102_012</t>
  </si>
  <si>
    <t>221102_013</t>
  </si>
  <si>
    <t>221102_014</t>
  </si>
  <si>
    <t>221102_015</t>
  </si>
  <si>
    <t>221102_016</t>
  </si>
  <si>
    <t>221102_017</t>
  </si>
  <si>
    <t>221102_018</t>
  </si>
  <si>
    <t>221102_019</t>
  </si>
  <si>
    <t>221102_020</t>
  </si>
  <si>
    <t>221102_021</t>
  </si>
  <si>
    <t>221102_022</t>
  </si>
  <si>
    <t>221102_023</t>
  </si>
  <si>
    <t>221102_024</t>
  </si>
  <si>
    <t>221102_025</t>
  </si>
  <si>
    <t>221102_026</t>
  </si>
  <si>
    <t>221102_027</t>
  </si>
  <si>
    <t>UP-1</t>
  </si>
  <si>
    <t>221102_028</t>
  </si>
  <si>
    <t>221102_029</t>
  </si>
  <si>
    <t>221102_030</t>
  </si>
  <si>
    <t>221102_031</t>
  </si>
  <si>
    <t>221102_032</t>
  </si>
  <si>
    <t>221102_033</t>
  </si>
  <si>
    <t>221102_034</t>
  </si>
  <si>
    <t>221102_035</t>
  </si>
  <si>
    <t>221102_036</t>
  </si>
  <si>
    <t>221102_037</t>
  </si>
  <si>
    <t>221102_038</t>
  </si>
  <si>
    <t>not very pressurized</t>
  </si>
  <si>
    <t>221102_039</t>
  </si>
  <si>
    <t>221102_040</t>
  </si>
  <si>
    <t>221102_041</t>
  </si>
  <si>
    <t>221102_042</t>
  </si>
  <si>
    <t>221102_043</t>
  </si>
  <si>
    <t>221102_044</t>
  </si>
  <si>
    <t>221102_045</t>
  </si>
  <si>
    <t>221102_046</t>
  </si>
  <si>
    <t>221102_047</t>
  </si>
  <si>
    <t>221102_048</t>
  </si>
  <si>
    <t>221102_049</t>
  </si>
  <si>
    <t>221102_050</t>
  </si>
  <si>
    <t>221102_051</t>
  </si>
  <si>
    <t>221102_052</t>
  </si>
  <si>
    <t>221102_053</t>
  </si>
  <si>
    <t>SW-2</t>
  </si>
  <si>
    <t>221102_054</t>
  </si>
  <si>
    <t>221102_055</t>
  </si>
  <si>
    <t>221102_056</t>
  </si>
  <si>
    <t>221102_057</t>
  </si>
  <si>
    <t>221102_058</t>
  </si>
  <si>
    <t>221102_059</t>
  </si>
  <si>
    <t>221102_060</t>
  </si>
  <si>
    <t>221102_061</t>
  </si>
  <si>
    <t>221102_062</t>
  </si>
  <si>
    <t>221102_063</t>
  </si>
  <si>
    <t>221102_064</t>
  </si>
  <si>
    <t>221102_065</t>
  </si>
  <si>
    <t>221102_066</t>
  </si>
  <si>
    <t>221102_067</t>
  </si>
  <si>
    <t>221102_068</t>
  </si>
  <si>
    <t>221102_069</t>
  </si>
  <si>
    <t>221102_070</t>
  </si>
  <si>
    <t>221102_071</t>
  </si>
  <si>
    <t>221102_072</t>
  </si>
  <si>
    <t>221102_073</t>
  </si>
  <si>
    <t>221102_074</t>
  </si>
  <si>
    <t>221102_075</t>
  </si>
  <si>
    <t>221102_076</t>
  </si>
  <si>
    <t>221102_077</t>
  </si>
  <si>
    <t>221102_078</t>
  </si>
  <si>
    <t>221102_079</t>
  </si>
  <si>
    <t>221102_080</t>
  </si>
  <si>
    <t>UP-2</t>
  </si>
  <si>
    <t>221102_081</t>
  </si>
  <si>
    <t>221102_082</t>
  </si>
  <si>
    <t>221102_083</t>
  </si>
  <si>
    <t>221102_084</t>
  </si>
  <si>
    <t>221102_085</t>
  </si>
  <si>
    <t>221102_086</t>
  </si>
  <si>
    <t>221102_087</t>
  </si>
  <si>
    <t>221102_088</t>
  </si>
  <si>
    <t>221102_089</t>
  </si>
  <si>
    <t>221102_090</t>
  </si>
  <si>
    <t>221102_091</t>
  </si>
  <si>
    <t>221102_092</t>
  </si>
  <si>
    <t>221102_093</t>
  </si>
  <si>
    <t>221102_094</t>
  </si>
  <si>
    <t>221102_095</t>
  </si>
  <si>
    <t>221102_096</t>
  </si>
  <si>
    <t>221102_097</t>
  </si>
  <si>
    <t>221102_098</t>
  </si>
  <si>
    <t>221102_099</t>
  </si>
  <si>
    <t>221102_100</t>
  </si>
  <si>
    <t>221102_101</t>
  </si>
  <si>
    <t>221102_102</t>
  </si>
  <si>
    <t>221102_103</t>
  </si>
  <si>
    <t>221102_104</t>
  </si>
  <si>
    <t>221102_105</t>
  </si>
  <si>
    <t>less than 4 mL of gas</t>
  </si>
  <si>
    <t>221102_106</t>
  </si>
  <si>
    <t>Date</t>
  </si>
  <si>
    <t>Initial</t>
  </si>
  <si>
    <t>IB</t>
  </si>
  <si>
    <t>Std #</t>
  </si>
  <si>
    <t>CH4 Peak Ht</t>
  </si>
  <si>
    <t>CO2 Peak Ht</t>
  </si>
  <si>
    <t>N2O Peak Ht</t>
  </si>
  <si>
    <t>Average</t>
  </si>
  <si>
    <t>C.V</t>
  </si>
  <si>
    <t>MY</t>
  </si>
  <si>
    <t>&lt; Max of:</t>
  </si>
  <si>
    <t>JF</t>
  </si>
  <si>
    <t>MY/SP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</si>
</sst>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6100"/>
      <name val="Calibri"/>
    </font>
    <font>
      <sz val="11.0"/>
      <color rgb="FF9C0006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4" xfId="0" applyFont="1" applyNumberFormat="1"/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2" fillId="2" fontId="3" numFmtId="0" xfId="0" applyBorder="1" applyFill="1" applyFont="1"/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1" numFmtId="9" xfId="0" applyFont="1" applyNumberFormat="1"/>
    <xf borderId="2" fillId="2" fontId="4" numFmtId="0" xfId="0" applyBorder="1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9.86"/>
    <col customWidth="1" min="3" max="3" width="18.71"/>
    <col customWidth="1" min="4" max="5" width="19.0"/>
    <col customWidth="1" min="6" max="6" width="20.14"/>
    <col customWidth="1" min="7" max="7" width="17.86"/>
    <col customWidth="1" min="8" max="8" width="19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44867.0</v>
      </c>
      <c r="B2" s="3" t="s">
        <v>8</v>
      </c>
      <c r="C2" s="4" t="s">
        <v>9</v>
      </c>
      <c r="D2" s="4">
        <v>1.0</v>
      </c>
      <c r="E2" s="4" t="s">
        <v>10</v>
      </c>
      <c r="F2" s="2">
        <v>44914.0</v>
      </c>
      <c r="G2" s="5" t="s">
        <v>11</v>
      </c>
    </row>
    <row r="3">
      <c r="A3" s="2">
        <v>44867.0</v>
      </c>
      <c r="B3" s="3" t="s">
        <v>8</v>
      </c>
      <c r="C3" s="4" t="s">
        <v>9</v>
      </c>
      <c r="D3" s="4">
        <v>1.0</v>
      </c>
      <c r="E3" s="4" t="s">
        <v>12</v>
      </c>
      <c r="F3" s="2">
        <v>44914.0</v>
      </c>
      <c r="G3" s="5" t="s">
        <v>13</v>
      </c>
    </row>
    <row r="4">
      <c r="A4" s="2">
        <v>44867.0</v>
      </c>
      <c r="B4" s="3" t="s">
        <v>8</v>
      </c>
      <c r="C4" s="4" t="s">
        <v>9</v>
      </c>
      <c r="D4" s="4">
        <v>1.0</v>
      </c>
      <c r="E4" s="4" t="s">
        <v>14</v>
      </c>
      <c r="F4" s="2">
        <v>44914.0</v>
      </c>
      <c r="G4" s="5" t="s">
        <v>15</v>
      </c>
    </row>
    <row r="5">
      <c r="A5" s="2">
        <v>44867.0</v>
      </c>
      <c r="B5" s="3" t="s">
        <v>8</v>
      </c>
      <c r="C5" s="4" t="s">
        <v>9</v>
      </c>
      <c r="D5" s="4">
        <v>1.0</v>
      </c>
      <c r="E5" s="4" t="s">
        <v>16</v>
      </c>
      <c r="F5" s="2">
        <v>44914.0</v>
      </c>
      <c r="G5" s="5" t="s">
        <v>17</v>
      </c>
    </row>
    <row r="6">
      <c r="A6" s="2">
        <v>44867.0</v>
      </c>
      <c r="B6" s="3" t="s">
        <v>8</v>
      </c>
      <c r="C6" s="4" t="s">
        <v>9</v>
      </c>
      <c r="D6" s="4">
        <v>1.0</v>
      </c>
      <c r="E6" s="4" t="s">
        <v>18</v>
      </c>
      <c r="F6" s="2">
        <v>44914.0</v>
      </c>
      <c r="G6" s="5" t="s">
        <v>19</v>
      </c>
    </row>
    <row r="7">
      <c r="A7" s="3" t="s">
        <v>20</v>
      </c>
      <c r="B7" s="3" t="s">
        <v>21</v>
      </c>
      <c r="C7" s="3" t="s">
        <v>21</v>
      </c>
      <c r="D7" s="3" t="s">
        <v>21</v>
      </c>
      <c r="E7" s="3" t="s">
        <v>21</v>
      </c>
      <c r="F7" s="2">
        <v>44915.0</v>
      </c>
      <c r="G7" s="5" t="s">
        <v>22</v>
      </c>
    </row>
    <row r="8">
      <c r="A8" s="3" t="s">
        <v>20</v>
      </c>
      <c r="B8" s="3" t="s">
        <v>21</v>
      </c>
      <c r="C8" s="3" t="s">
        <v>21</v>
      </c>
      <c r="D8" s="3" t="s">
        <v>21</v>
      </c>
      <c r="E8" s="3" t="s">
        <v>21</v>
      </c>
      <c r="F8" s="2">
        <v>44915.0</v>
      </c>
      <c r="G8" s="5" t="s">
        <v>23</v>
      </c>
    </row>
    <row r="9">
      <c r="A9" s="3" t="s">
        <v>20</v>
      </c>
      <c r="B9" s="3" t="s">
        <v>21</v>
      </c>
      <c r="C9" s="3" t="s">
        <v>21</v>
      </c>
      <c r="D9" s="3" t="s">
        <v>21</v>
      </c>
      <c r="E9" s="3" t="s">
        <v>21</v>
      </c>
      <c r="F9" s="2">
        <v>44915.0</v>
      </c>
      <c r="G9" s="5" t="s">
        <v>24</v>
      </c>
    </row>
    <row r="10">
      <c r="A10" s="3" t="s">
        <v>20</v>
      </c>
      <c r="B10" s="3" t="s">
        <v>21</v>
      </c>
      <c r="C10" s="3" t="s">
        <v>21</v>
      </c>
      <c r="D10" s="3" t="s">
        <v>21</v>
      </c>
      <c r="E10" s="3" t="s">
        <v>21</v>
      </c>
      <c r="F10" s="2">
        <v>44915.0</v>
      </c>
      <c r="G10" s="5" t="s">
        <v>25</v>
      </c>
    </row>
    <row r="11">
      <c r="A11" s="3" t="s">
        <v>20</v>
      </c>
      <c r="B11" s="3" t="s">
        <v>21</v>
      </c>
      <c r="C11" s="3" t="s">
        <v>21</v>
      </c>
      <c r="D11" s="3" t="s">
        <v>21</v>
      </c>
      <c r="E11" s="3" t="s">
        <v>21</v>
      </c>
      <c r="F11" s="2">
        <v>44915.0</v>
      </c>
      <c r="G11" s="5" t="s">
        <v>26</v>
      </c>
    </row>
    <row r="12">
      <c r="A12" s="3" t="s">
        <v>20</v>
      </c>
      <c r="B12" s="3" t="s">
        <v>21</v>
      </c>
      <c r="C12" s="3" t="s">
        <v>21</v>
      </c>
      <c r="D12" s="3" t="s">
        <v>21</v>
      </c>
      <c r="E12" s="3" t="s">
        <v>21</v>
      </c>
      <c r="F12" s="2">
        <v>44915.0</v>
      </c>
      <c r="G12" s="5" t="s">
        <v>27</v>
      </c>
    </row>
    <row r="13">
      <c r="A13" s="2">
        <v>44867.0</v>
      </c>
      <c r="B13" s="3" t="s">
        <v>8</v>
      </c>
      <c r="C13" s="4" t="s">
        <v>9</v>
      </c>
      <c r="D13" s="4">
        <v>2.0</v>
      </c>
      <c r="E13" s="4" t="s">
        <v>10</v>
      </c>
      <c r="F13" s="2">
        <v>44915.0</v>
      </c>
      <c r="G13" s="5" t="s">
        <v>28</v>
      </c>
    </row>
    <row r="14">
      <c r="A14" s="2">
        <v>44867.0</v>
      </c>
      <c r="B14" s="3" t="s">
        <v>8</v>
      </c>
      <c r="C14" s="4" t="s">
        <v>9</v>
      </c>
      <c r="D14" s="4">
        <v>2.0</v>
      </c>
      <c r="E14" s="4" t="s">
        <v>12</v>
      </c>
      <c r="F14" s="2">
        <v>44915.0</v>
      </c>
      <c r="G14" s="5" t="s">
        <v>29</v>
      </c>
    </row>
    <row r="15">
      <c r="A15" s="2">
        <v>44867.0</v>
      </c>
      <c r="B15" s="3" t="s">
        <v>8</v>
      </c>
      <c r="C15" s="4" t="s">
        <v>9</v>
      </c>
      <c r="D15" s="4">
        <v>2.0</v>
      </c>
      <c r="E15" s="4" t="s">
        <v>14</v>
      </c>
      <c r="F15" s="2">
        <v>44915.0</v>
      </c>
      <c r="G15" s="5" t="s">
        <v>30</v>
      </c>
    </row>
    <row r="16">
      <c r="A16" s="2">
        <v>44867.0</v>
      </c>
      <c r="B16" s="3" t="s">
        <v>8</v>
      </c>
      <c r="C16" s="4" t="s">
        <v>9</v>
      </c>
      <c r="D16" s="4">
        <v>2.0</v>
      </c>
      <c r="E16" s="4" t="s">
        <v>16</v>
      </c>
      <c r="F16" s="2">
        <v>44915.0</v>
      </c>
      <c r="G16" s="5" t="s">
        <v>31</v>
      </c>
    </row>
    <row r="17">
      <c r="A17" s="2">
        <v>44867.0</v>
      </c>
      <c r="B17" s="3" t="s">
        <v>8</v>
      </c>
      <c r="C17" s="4" t="s">
        <v>9</v>
      </c>
      <c r="D17" s="4">
        <v>2.0</v>
      </c>
      <c r="E17" s="4" t="s">
        <v>18</v>
      </c>
      <c r="F17" s="2">
        <v>44915.0</v>
      </c>
      <c r="G17" s="5" t="s">
        <v>32</v>
      </c>
    </row>
    <row r="18">
      <c r="A18" s="2">
        <v>44867.0</v>
      </c>
      <c r="B18" s="3" t="s">
        <v>8</v>
      </c>
      <c r="C18" s="4" t="s">
        <v>9</v>
      </c>
      <c r="D18" s="4">
        <v>3.0</v>
      </c>
      <c r="E18" s="4" t="s">
        <v>10</v>
      </c>
      <c r="F18" s="2">
        <v>44915.0</v>
      </c>
      <c r="G18" s="5" t="s">
        <v>33</v>
      </c>
    </row>
    <row r="19">
      <c r="A19" s="2">
        <v>44867.0</v>
      </c>
      <c r="B19" s="3" t="s">
        <v>8</v>
      </c>
      <c r="C19" s="4" t="s">
        <v>9</v>
      </c>
      <c r="D19" s="4">
        <v>3.0</v>
      </c>
      <c r="E19" s="4" t="s">
        <v>12</v>
      </c>
      <c r="F19" s="2">
        <v>44915.0</v>
      </c>
      <c r="G19" s="5" t="s">
        <v>34</v>
      </c>
    </row>
    <row r="20">
      <c r="A20" s="2">
        <v>44867.0</v>
      </c>
      <c r="B20" s="3" t="s">
        <v>8</v>
      </c>
      <c r="C20" s="4" t="s">
        <v>9</v>
      </c>
      <c r="D20" s="4">
        <v>3.0</v>
      </c>
      <c r="E20" s="4" t="s">
        <v>14</v>
      </c>
      <c r="F20" s="2">
        <v>44915.0</v>
      </c>
      <c r="G20" s="5" t="s">
        <v>35</v>
      </c>
    </row>
    <row r="21" ht="15.75" customHeight="1">
      <c r="A21" s="2">
        <v>44867.0</v>
      </c>
      <c r="B21" s="3" t="s">
        <v>8</v>
      </c>
      <c r="C21" s="4" t="s">
        <v>9</v>
      </c>
      <c r="D21" s="4">
        <v>3.0</v>
      </c>
      <c r="E21" s="4" t="s">
        <v>16</v>
      </c>
      <c r="F21" s="2">
        <v>44915.0</v>
      </c>
      <c r="G21" s="5" t="s">
        <v>36</v>
      </c>
    </row>
    <row r="22" ht="15.75" customHeight="1">
      <c r="A22" s="2">
        <v>44867.0</v>
      </c>
      <c r="B22" s="3" t="s">
        <v>8</v>
      </c>
      <c r="C22" s="4" t="s">
        <v>9</v>
      </c>
      <c r="D22" s="4">
        <v>3.0</v>
      </c>
      <c r="E22" s="4" t="s">
        <v>18</v>
      </c>
      <c r="F22" s="2">
        <v>44915.0</v>
      </c>
      <c r="G22" s="5" t="s">
        <v>37</v>
      </c>
    </row>
    <row r="23" ht="15.75" customHeight="1">
      <c r="A23" s="3" t="s">
        <v>20</v>
      </c>
      <c r="B23" s="3" t="s">
        <v>21</v>
      </c>
      <c r="C23" s="3" t="s">
        <v>21</v>
      </c>
      <c r="D23" s="3" t="s">
        <v>21</v>
      </c>
      <c r="E23" s="3" t="s">
        <v>21</v>
      </c>
      <c r="F23" s="2">
        <v>44915.0</v>
      </c>
      <c r="G23" s="5" t="s">
        <v>38</v>
      </c>
    </row>
    <row r="24" ht="15.75" customHeight="1">
      <c r="A24" s="2">
        <v>44867.0</v>
      </c>
      <c r="B24" s="3" t="s">
        <v>8</v>
      </c>
      <c r="C24" s="4" t="s">
        <v>9</v>
      </c>
      <c r="D24" s="4">
        <v>4.0</v>
      </c>
      <c r="E24" s="4" t="s">
        <v>10</v>
      </c>
      <c r="F24" s="2">
        <v>44915.0</v>
      </c>
      <c r="G24" s="5" t="s">
        <v>39</v>
      </c>
    </row>
    <row r="25" ht="15.75" customHeight="1">
      <c r="A25" s="2">
        <v>44867.0</v>
      </c>
      <c r="B25" s="3" t="s">
        <v>8</v>
      </c>
      <c r="C25" s="4" t="s">
        <v>9</v>
      </c>
      <c r="D25" s="4">
        <v>4.0</v>
      </c>
      <c r="E25" s="4" t="s">
        <v>12</v>
      </c>
      <c r="F25" s="2">
        <v>44915.0</v>
      </c>
      <c r="G25" s="5" t="s">
        <v>40</v>
      </c>
    </row>
    <row r="26" ht="15.75" customHeight="1">
      <c r="A26" s="2">
        <v>44867.0</v>
      </c>
      <c r="B26" s="3" t="s">
        <v>8</v>
      </c>
      <c r="C26" s="4" t="s">
        <v>9</v>
      </c>
      <c r="D26" s="4">
        <v>4.0</v>
      </c>
      <c r="E26" s="4" t="s">
        <v>14</v>
      </c>
      <c r="F26" s="2">
        <v>44915.0</v>
      </c>
      <c r="G26" s="5" t="s">
        <v>41</v>
      </c>
    </row>
    <row r="27" ht="15.75" customHeight="1">
      <c r="A27" s="2">
        <v>44867.0</v>
      </c>
      <c r="B27" s="3" t="s">
        <v>8</v>
      </c>
      <c r="C27" s="4" t="s">
        <v>9</v>
      </c>
      <c r="D27" s="4">
        <v>4.0</v>
      </c>
      <c r="E27" s="4" t="s">
        <v>16</v>
      </c>
      <c r="F27" s="2">
        <v>44915.0</v>
      </c>
      <c r="G27" s="5" t="s">
        <v>42</v>
      </c>
    </row>
    <row r="28" ht="15.75" customHeight="1">
      <c r="A28" s="2">
        <v>44867.0</v>
      </c>
      <c r="B28" s="3" t="s">
        <v>8</v>
      </c>
      <c r="C28" s="4" t="s">
        <v>9</v>
      </c>
      <c r="D28" s="4">
        <v>4.0</v>
      </c>
      <c r="E28" s="4" t="s">
        <v>18</v>
      </c>
      <c r="F28" s="2">
        <v>44915.0</v>
      </c>
      <c r="G28" s="5" t="s">
        <v>43</v>
      </c>
    </row>
    <row r="29" ht="15.75" customHeight="1">
      <c r="A29" s="2">
        <v>44867.0</v>
      </c>
      <c r="B29" s="3" t="s">
        <v>8</v>
      </c>
      <c r="C29" s="4" t="s">
        <v>44</v>
      </c>
      <c r="D29" s="4">
        <v>1.0</v>
      </c>
      <c r="E29" s="4" t="s">
        <v>10</v>
      </c>
      <c r="F29" s="2">
        <v>44915.0</v>
      </c>
      <c r="G29" s="5" t="s">
        <v>45</v>
      </c>
    </row>
    <row r="30" ht="15.75" customHeight="1">
      <c r="A30" s="2">
        <v>44867.0</v>
      </c>
      <c r="B30" s="3" t="s">
        <v>8</v>
      </c>
      <c r="C30" s="4" t="s">
        <v>44</v>
      </c>
      <c r="D30" s="4">
        <v>1.0</v>
      </c>
      <c r="E30" s="4" t="s">
        <v>12</v>
      </c>
      <c r="F30" s="2">
        <v>44915.0</v>
      </c>
      <c r="G30" s="5" t="s">
        <v>46</v>
      </c>
    </row>
    <row r="31" ht="15.75" customHeight="1">
      <c r="A31" s="2">
        <v>44867.0</v>
      </c>
      <c r="B31" s="3" t="s">
        <v>8</v>
      </c>
      <c r="C31" s="4" t="s">
        <v>44</v>
      </c>
      <c r="D31" s="4">
        <v>1.0</v>
      </c>
      <c r="E31" s="4" t="s">
        <v>14</v>
      </c>
      <c r="F31" s="2">
        <v>44915.0</v>
      </c>
      <c r="G31" s="5" t="s">
        <v>47</v>
      </c>
    </row>
    <row r="32" ht="15.75" customHeight="1">
      <c r="A32" s="2">
        <v>44867.0</v>
      </c>
      <c r="B32" s="3" t="s">
        <v>8</v>
      </c>
      <c r="C32" s="4" t="s">
        <v>44</v>
      </c>
      <c r="D32" s="4">
        <v>1.0</v>
      </c>
      <c r="E32" s="4" t="s">
        <v>16</v>
      </c>
      <c r="F32" s="2">
        <v>44915.0</v>
      </c>
      <c r="G32" s="5" t="s">
        <v>48</v>
      </c>
    </row>
    <row r="33" ht="15.75" customHeight="1">
      <c r="A33" s="2">
        <v>44867.0</v>
      </c>
      <c r="B33" s="3" t="s">
        <v>8</v>
      </c>
      <c r="C33" s="4" t="s">
        <v>44</v>
      </c>
      <c r="D33" s="4">
        <v>1.0</v>
      </c>
      <c r="E33" s="4" t="s">
        <v>18</v>
      </c>
      <c r="F33" s="2">
        <v>44915.0</v>
      </c>
      <c r="G33" s="5" t="s">
        <v>49</v>
      </c>
    </row>
    <row r="34" ht="15.75" customHeight="1">
      <c r="A34" s="3" t="s">
        <v>20</v>
      </c>
      <c r="B34" s="3" t="s">
        <v>21</v>
      </c>
      <c r="C34" s="3" t="s">
        <v>21</v>
      </c>
      <c r="D34" s="3" t="s">
        <v>21</v>
      </c>
      <c r="E34" s="3" t="s">
        <v>21</v>
      </c>
      <c r="F34" s="2">
        <v>44916.0</v>
      </c>
      <c r="G34" s="5" t="s">
        <v>50</v>
      </c>
    </row>
    <row r="35" ht="15.75" customHeight="1">
      <c r="A35" s="3" t="s">
        <v>20</v>
      </c>
      <c r="B35" s="3" t="s">
        <v>21</v>
      </c>
      <c r="C35" s="3" t="s">
        <v>21</v>
      </c>
      <c r="D35" s="3" t="s">
        <v>21</v>
      </c>
      <c r="E35" s="3" t="s">
        <v>21</v>
      </c>
      <c r="F35" s="2">
        <v>44916.0</v>
      </c>
      <c r="G35" s="5" t="s">
        <v>51</v>
      </c>
    </row>
    <row r="36" ht="15.75" customHeight="1">
      <c r="A36" s="3" t="s">
        <v>20</v>
      </c>
      <c r="B36" s="3" t="s">
        <v>21</v>
      </c>
      <c r="C36" s="3" t="s">
        <v>21</v>
      </c>
      <c r="D36" s="3" t="s">
        <v>21</v>
      </c>
      <c r="E36" s="3" t="s">
        <v>21</v>
      </c>
      <c r="F36" s="2">
        <v>44916.0</v>
      </c>
      <c r="G36" s="5" t="s">
        <v>52</v>
      </c>
    </row>
    <row r="37" ht="15.75" customHeight="1">
      <c r="A37" s="3" t="s">
        <v>20</v>
      </c>
      <c r="B37" s="3" t="s">
        <v>21</v>
      </c>
      <c r="C37" s="3" t="s">
        <v>21</v>
      </c>
      <c r="D37" s="3" t="s">
        <v>21</v>
      </c>
      <c r="E37" s="3" t="s">
        <v>21</v>
      </c>
      <c r="F37" s="2">
        <v>44916.0</v>
      </c>
      <c r="G37" s="5" t="s">
        <v>53</v>
      </c>
    </row>
    <row r="38" ht="15.75" customHeight="1">
      <c r="A38" s="3" t="s">
        <v>20</v>
      </c>
      <c r="B38" s="3" t="s">
        <v>21</v>
      </c>
      <c r="C38" s="3" t="s">
        <v>21</v>
      </c>
      <c r="D38" s="3" t="s">
        <v>21</v>
      </c>
      <c r="E38" s="3" t="s">
        <v>21</v>
      </c>
      <c r="F38" s="2">
        <v>44916.0</v>
      </c>
      <c r="G38" s="5" t="s">
        <v>54</v>
      </c>
    </row>
    <row r="39" ht="15.75" customHeight="1">
      <c r="A39" s="2">
        <v>44867.0</v>
      </c>
      <c r="B39" s="3" t="s">
        <v>8</v>
      </c>
      <c r="C39" s="4" t="s">
        <v>44</v>
      </c>
      <c r="D39" s="4">
        <v>2.0</v>
      </c>
      <c r="E39" s="4" t="s">
        <v>10</v>
      </c>
      <c r="F39" s="2">
        <v>44916.0</v>
      </c>
      <c r="G39" s="5" t="s">
        <v>55</v>
      </c>
      <c r="H39" s="4" t="s">
        <v>56</v>
      </c>
    </row>
    <row r="40" ht="15.75" customHeight="1">
      <c r="A40" s="2">
        <v>44867.0</v>
      </c>
      <c r="B40" s="3" t="s">
        <v>8</v>
      </c>
      <c r="C40" s="4" t="s">
        <v>44</v>
      </c>
      <c r="D40" s="4">
        <v>2.0</v>
      </c>
      <c r="E40" s="4" t="s">
        <v>12</v>
      </c>
      <c r="F40" s="2">
        <v>44916.0</v>
      </c>
      <c r="G40" s="5" t="s">
        <v>57</v>
      </c>
      <c r="H40" s="4" t="s">
        <v>56</v>
      </c>
    </row>
    <row r="41" ht="15.75" customHeight="1">
      <c r="A41" s="2">
        <v>44867.0</v>
      </c>
      <c r="B41" s="3" t="s">
        <v>8</v>
      </c>
      <c r="C41" s="4" t="s">
        <v>44</v>
      </c>
      <c r="D41" s="4">
        <v>2.0</v>
      </c>
      <c r="E41" s="4" t="s">
        <v>14</v>
      </c>
      <c r="F41" s="2">
        <v>44916.0</v>
      </c>
      <c r="G41" s="5" t="s">
        <v>58</v>
      </c>
      <c r="H41" s="4" t="s">
        <v>56</v>
      </c>
    </row>
    <row r="42" ht="15.75" customHeight="1">
      <c r="A42" s="2">
        <v>44867.0</v>
      </c>
      <c r="B42" s="3" t="s">
        <v>8</v>
      </c>
      <c r="C42" s="4" t="s">
        <v>44</v>
      </c>
      <c r="D42" s="4">
        <v>2.0</v>
      </c>
      <c r="E42" s="4" t="s">
        <v>16</v>
      </c>
      <c r="F42" s="2">
        <v>44916.0</v>
      </c>
      <c r="G42" s="5" t="s">
        <v>59</v>
      </c>
      <c r="H42" s="4" t="s">
        <v>56</v>
      </c>
    </row>
    <row r="43" ht="15.75" customHeight="1">
      <c r="A43" s="2">
        <v>44867.0</v>
      </c>
      <c r="B43" s="3" t="s">
        <v>8</v>
      </c>
      <c r="C43" s="4" t="s">
        <v>44</v>
      </c>
      <c r="D43" s="4">
        <v>2.0</v>
      </c>
      <c r="E43" s="4" t="s">
        <v>18</v>
      </c>
      <c r="F43" s="2">
        <v>44916.0</v>
      </c>
      <c r="G43" s="5" t="s">
        <v>60</v>
      </c>
      <c r="H43" s="4" t="s">
        <v>56</v>
      </c>
    </row>
    <row r="44" ht="15.75" customHeight="1">
      <c r="A44" s="2">
        <v>44867.0</v>
      </c>
      <c r="B44" s="3" t="s">
        <v>8</v>
      </c>
      <c r="C44" s="4" t="s">
        <v>44</v>
      </c>
      <c r="D44" s="4">
        <v>3.0</v>
      </c>
      <c r="E44" s="4" t="s">
        <v>10</v>
      </c>
      <c r="F44" s="2">
        <v>44916.0</v>
      </c>
      <c r="G44" s="5" t="s">
        <v>61</v>
      </c>
      <c r="H44" s="4" t="s">
        <v>56</v>
      </c>
    </row>
    <row r="45" ht="15.75" customHeight="1">
      <c r="A45" s="2">
        <v>44867.0</v>
      </c>
      <c r="B45" s="3" t="s">
        <v>8</v>
      </c>
      <c r="C45" s="4" t="s">
        <v>44</v>
      </c>
      <c r="D45" s="4">
        <v>3.0</v>
      </c>
      <c r="E45" s="4" t="s">
        <v>12</v>
      </c>
      <c r="F45" s="2">
        <v>44916.0</v>
      </c>
      <c r="G45" s="5" t="s">
        <v>62</v>
      </c>
      <c r="H45" s="4" t="s">
        <v>56</v>
      </c>
    </row>
    <row r="46" ht="15.75" customHeight="1">
      <c r="A46" s="2">
        <v>44867.0</v>
      </c>
      <c r="B46" s="3" t="s">
        <v>8</v>
      </c>
      <c r="C46" s="4" t="s">
        <v>44</v>
      </c>
      <c r="D46" s="4">
        <v>3.0</v>
      </c>
      <c r="E46" s="4" t="s">
        <v>14</v>
      </c>
      <c r="F46" s="2">
        <v>44916.0</v>
      </c>
      <c r="G46" s="5" t="s">
        <v>63</v>
      </c>
      <c r="H46" s="4" t="s">
        <v>56</v>
      </c>
    </row>
    <row r="47" ht="15.75" customHeight="1">
      <c r="A47" s="2">
        <v>44867.0</v>
      </c>
      <c r="B47" s="3" t="s">
        <v>8</v>
      </c>
      <c r="C47" s="4" t="s">
        <v>44</v>
      </c>
      <c r="D47" s="4">
        <v>3.0</v>
      </c>
      <c r="E47" s="4" t="s">
        <v>16</v>
      </c>
      <c r="F47" s="2">
        <v>44916.0</v>
      </c>
      <c r="G47" s="5" t="s">
        <v>64</v>
      </c>
      <c r="H47" s="4" t="s">
        <v>56</v>
      </c>
    </row>
    <row r="48" ht="15.75" customHeight="1">
      <c r="A48" s="2">
        <v>44867.0</v>
      </c>
      <c r="B48" s="3" t="s">
        <v>8</v>
      </c>
      <c r="C48" s="4" t="s">
        <v>44</v>
      </c>
      <c r="D48" s="4">
        <v>3.0</v>
      </c>
      <c r="E48" s="4" t="s">
        <v>18</v>
      </c>
      <c r="F48" s="2">
        <v>44916.0</v>
      </c>
      <c r="G48" s="5" t="s">
        <v>65</v>
      </c>
      <c r="H48" s="4" t="s">
        <v>56</v>
      </c>
    </row>
    <row r="49" ht="15.75" customHeight="1">
      <c r="A49" s="3" t="s">
        <v>20</v>
      </c>
      <c r="B49" s="3" t="s">
        <v>21</v>
      </c>
      <c r="C49" s="3" t="s">
        <v>21</v>
      </c>
      <c r="D49" s="3" t="s">
        <v>21</v>
      </c>
      <c r="E49" s="3" t="s">
        <v>21</v>
      </c>
      <c r="F49" s="2">
        <v>44916.0</v>
      </c>
      <c r="G49" s="5" t="s">
        <v>66</v>
      </c>
    </row>
    <row r="50" ht="15.75" customHeight="1">
      <c r="A50" s="2">
        <v>44867.0</v>
      </c>
      <c r="B50" s="3" t="s">
        <v>8</v>
      </c>
      <c r="C50" s="4" t="s">
        <v>44</v>
      </c>
      <c r="D50" s="4">
        <v>4.0</v>
      </c>
      <c r="E50" s="4" t="s">
        <v>10</v>
      </c>
      <c r="F50" s="2">
        <v>44916.0</v>
      </c>
      <c r="G50" s="5" t="s">
        <v>67</v>
      </c>
      <c r="H50" s="4" t="s">
        <v>56</v>
      </c>
    </row>
    <row r="51" ht="15.75" customHeight="1">
      <c r="A51" s="2">
        <v>44867.0</v>
      </c>
      <c r="B51" s="3" t="s">
        <v>8</v>
      </c>
      <c r="C51" s="4" t="s">
        <v>44</v>
      </c>
      <c r="D51" s="4">
        <v>4.0</v>
      </c>
      <c r="E51" s="4" t="s">
        <v>12</v>
      </c>
      <c r="F51" s="2">
        <v>44916.0</v>
      </c>
      <c r="G51" s="5" t="s">
        <v>68</v>
      </c>
      <c r="H51" s="4" t="s">
        <v>56</v>
      </c>
    </row>
    <row r="52" ht="15.75" customHeight="1">
      <c r="A52" s="2">
        <v>44867.0</v>
      </c>
      <c r="B52" s="3" t="s">
        <v>8</v>
      </c>
      <c r="C52" s="4" t="s">
        <v>44</v>
      </c>
      <c r="D52" s="4">
        <v>4.0</v>
      </c>
      <c r="E52" s="4" t="s">
        <v>14</v>
      </c>
      <c r="F52" s="2">
        <v>44916.0</v>
      </c>
      <c r="G52" s="5" t="s">
        <v>69</v>
      </c>
      <c r="H52" s="4" t="s">
        <v>56</v>
      </c>
    </row>
    <row r="53" ht="15.75" customHeight="1">
      <c r="A53" s="2">
        <v>44867.0</v>
      </c>
      <c r="B53" s="3" t="s">
        <v>8</v>
      </c>
      <c r="C53" s="4" t="s">
        <v>44</v>
      </c>
      <c r="D53" s="4">
        <v>4.0</v>
      </c>
      <c r="E53" s="4" t="s">
        <v>16</v>
      </c>
      <c r="F53" s="2">
        <v>44916.0</v>
      </c>
      <c r="G53" s="5" t="s">
        <v>70</v>
      </c>
      <c r="H53" s="4" t="s">
        <v>56</v>
      </c>
    </row>
    <row r="54" ht="15.75" customHeight="1">
      <c r="A54" s="2">
        <v>44867.0</v>
      </c>
      <c r="B54" s="3" t="s">
        <v>8</v>
      </c>
      <c r="C54" s="4" t="s">
        <v>44</v>
      </c>
      <c r="D54" s="4">
        <v>4.0</v>
      </c>
      <c r="E54" s="4" t="s">
        <v>18</v>
      </c>
      <c r="F54" s="2">
        <v>44916.0</v>
      </c>
      <c r="G54" s="5" t="s">
        <v>71</v>
      </c>
      <c r="H54" s="4" t="s">
        <v>56</v>
      </c>
    </row>
    <row r="55" ht="15.75" customHeight="1">
      <c r="A55" s="2">
        <v>44867.0</v>
      </c>
      <c r="B55" s="3" t="s">
        <v>8</v>
      </c>
      <c r="C55" s="4" t="s">
        <v>72</v>
      </c>
      <c r="D55" s="4">
        <v>1.0</v>
      </c>
      <c r="E55" s="4" t="s">
        <v>10</v>
      </c>
      <c r="F55" s="2">
        <v>44916.0</v>
      </c>
      <c r="G55" s="5" t="s">
        <v>73</v>
      </c>
    </row>
    <row r="56" ht="15.75" customHeight="1">
      <c r="A56" s="2">
        <v>44867.0</v>
      </c>
      <c r="B56" s="3" t="s">
        <v>8</v>
      </c>
      <c r="C56" s="4" t="s">
        <v>72</v>
      </c>
      <c r="D56" s="4">
        <v>1.0</v>
      </c>
      <c r="E56" s="4" t="s">
        <v>12</v>
      </c>
      <c r="F56" s="2">
        <v>44916.0</v>
      </c>
      <c r="G56" s="5" t="s">
        <v>74</v>
      </c>
    </row>
    <row r="57" ht="15.75" customHeight="1">
      <c r="A57" s="2">
        <v>44867.0</v>
      </c>
      <c r="B57" s="3" t="s">
        <v>8</v>
      </c>
      <c r="C57" s="4" t="s">
        <v>72</v>
      </c>
      <c r="D57" s="4">
        <v>1.0</v>
      </c>
      <c r="E57" s="4" t="s">
        <v>14</v>
      </c>
      <c r="F57" s="2">
        <v>44916.0</v>
      </c>
      <c r="G57" s="5" t="s">
        <v>75</v>
      </c>
    </row>
    <row r="58" ht="15.75" customHeight="1">
      <c r="A58" s="2">
        <v>44867.0</v>
      </c>
      <c r="B58" s="3" t="s">
        <v>8</v>
      </c>
      <c r="C58" s="4" t="s">
        <v>72</v>
      </c>
      <c r="D58" s="4">
        <v>1.0</v>
      </c>
      <c r="E58" s="4" t="s">
        <v>16</v>
      </c>
      <c r="F58" s="2">
        <v>44916.0</v>
      </c>
      <c r="G58" s="5" t="s">
        <v>76</v>
      </c>
    </row>
    <row r="59" ht="15.75" customHeight="1">
      <c r="A59" s="2">
        <v>44867.0</v>
      </c>
      <c r="B59" s="3" t="s">
        <v>8</v>
      </c>
      <c r="C59" s="4" t="s">
        <v>72</v>
      </c>
      <c r="D59" s="4">
        <v>1.0</v>
      </c>
      <c r="E59" s="4" t="s">
        <v>18</v>
      </c>
      <c r="F59" s="2">
        <v>44916.0</v>
      </c>
      <c r="G59" s="5" t="s">
        <v>77</v>
      </c>
    </row>
    <row r="60" ht="15.75" customHeight="1">
      <c r="A60" s="3" t="s">
        <v>20</v>
      </c>
      <c r="B60" s="3" t="s">
        <v>21</v>
      </c>
      <c r="C60" s="3" t="s">
        <v>21</v>
      </c>
      <c r="D60" s="3" t="s">
        <v>21</v>
      </c>
      <c r="E60" s="3" t="s">
        <v>21</v>
      </c>
      <c r="F60" s="2">
        <v>44916.0</v>
      </c>
      <c r="G60" s="5" t="s">
        <v>78</v>
      </c>
    </row>
    <row r="61" ht="15.75" customHeight="1">
      <c r="A61" s="2">
        <v>44867.0</v>
      </c>
      <c r="B61" s="3" t="s">
        <v>8</v>
      </c>
      <c r="C61" s="4" t="s">
        <v>72</v>
      </c>
      <c r="D61" s="4">
        <v>2.0</v>
      </c>
      <c r="E61" s="4" t="s">
        <v>10</v>
      </c>
      <c r="F61" s="2">
        <v>44916.0</v>
      </c>
      <c r="G61" s="5" t="s">
        <v>79</v>
      </c>
    </row>
    <row r="62" ht="15.75" customHeight="1">
      <c r="A62" s="2">
        <v>44867.0</v>
      </c>
      <c r="B62" s="3" t="s">
        <v>8</v>
      </c>
      <c r="C62" s="4" t="s">
        <v>72</v>
      </c>
      <c r="D62" s="4">
        <v>2.0</v>
      </c>
      <c r="E62" s="4" t="s">
        <v>12</v>
      </c>
      <c r="F62" s="2">
        <v>44916.0</v>
      </c>
      <c r="G62" s="5" t="s">
        <v>80</v>
      </c>
    </row>
    <row r="63" ht="15.75" customHeight="1">
      <c r="A63" s="3" t="s">
        <v>20</v>
      </c>
      <c r="B63" s="3" t="s">
        <v>21</v>
      </c>
      <c r="C63" s="3" t="s">
        <v>21</v>
      </c>
      <c r="D63" s="3" t="s">
        <v>21</v>
      </c>
      <c r="E63" s="3" t="s">
        <v>21</v>
      </c>
      <c r="F63" s="2">
        <v>44929.0</v>
      </c>
      <c r="G63" s="5" t="s">
        <v>81</v>
      </c>
    </row>
    <row r="64" ht="15.75" customHeight="1">
      <c r="A64" s="3" t="s">
        <v>20</v>
      </c>
      <c r="B64" s="3" t="s">
        <v>21</v>
      </c>
      <c r="C64" s="3" t="s">
        <v>21</v>
      </c>
      <c r="D64" s="3" t="s">
        <v>21</v>
      </c>
      <c r="E64" s="3" t="s">
        <v>21</v>
      </c>
      <c r="F64" s="2">
        <v>44929.0</v>
      </c>
      <c r="G64" s="5" t="s">
        <v>82</v>
      </c>
    </row>
    <row r="65" ht="15.75" customHeight="1">
      <c r="A65" s="3" t="s">
        <v>20</v>
      </c>
      <c r="B65" s="3" t="s">
        <v>21</v>
      </c>
      <c r="C65" s="3" t="s">
        <v>21</v>
      </c>
      <c r="D65" s="3" t="s">
        <v>21</v>
      </c>
      <c r="E65" s="3" t="s">
        <v>21</v>
      </c>
      <c r="F65" s="2">
        <v>44929.0</v>
      </c>
      <c r="G65" s="5" t="s">
        <v>83</v>
      </c>
    </row>
    <row r="66" ht="15.75" customHeight="1">
      <c r="A66" s="3" t="s">
        <v>20</v>
      </c>
      <c r="B66" s="3" t="s">
        <v>21</v>
      </c>
      <c r="C66" s="3" t="s">
        <v>21</v>
      </c>
      <c r="D66" s="3" t="s">
        <v>21</v>
      </c>
      <c r="E66" s="3" t="s">
        <v>21</v>
      </c>
      <c r="F66" s="2">
        <v>44929.0</v>
      </c>
      <c r="G66" s="5" t="s">
        <v>84</v>
      </c>
    </row>
    <row r="67" ht="15.75" customHeight="1">
      <c r="A67" s="3" t="s">
        <v>20</v>
      </c>
      <c r="B67" s="3" t="s">
        <v>21</v>
      </c>
      <c r="C67" s="3" t="s">
        <v>21</v>
      </c>
      <c r="D67" s="3" t="s">
        <v>21</v>
      </c>
      <c r="E67" s="3" t="s">
        <v>21</v>
      </c>
      <c r="F67" s="2">
        <v>44929.0</v>
      </c>
      <c r="G67" s="5" t="s">
        <v>85</v>
      </c>
    </row>
    <row r="68" ht="15.75" customHeight="1">
      <c r="A68" s="2">
        <v>44867.0</v>
      </c>
      <c r="B68" s="3" t="s">
        <v>8</v>
      </c>
      <c r="C68" s="4" t="s">
        <v>72</v>
      </c>
      <c r="D68" s="4">
        <v>2.0</v>
      </c>
      <c r="E68" s="4" t="s">
        <v>14</v>
      </c>
      <c r="F68" s="2">
        <v>44929.0</v>
      </c>
      <c r="G68" s="5" t="s">
        <v>86</v>
      </c>
    </row>
    <row r="69" ht="15.75" customHeight="1">
      <c r="A69" s="2">
        <v>44867.0</v>
      </c>
      <c r="B69" s="3" t="s">
        <v>8</v>
      </c>
      <c r="C69" s="4" t="s">
        <v>72</v>
      </c>
      <c r="D69" s="4">
        <v>2.0</v>
      </c>
      <c r="E69" s="4" t="s">
        <v>16</v>
      </c>
      <c r="F69" s="2">
        <v>44929.0</v>
      </c>
      <c r="G69" s="5" t="s">
        <v>87</v>
      </c>
    </row>
    <row r="70" ht="15.75" customHeight="1">
      <c r="A70" s="2">
        <v>44867.0</v>
      </c>
      <c r="B70" s="3" t="s">
        <v>8</v>
      </c>
      <c r="C70" s="4" t="s">
        <v>72</v>
      </c>
      <c r="D70" s="4">
        <v>2.0</v>
      </c>
      <c r="E70" s="4" t="s">
        <v>18</v>
      </c>
      <c r="F70" s="2">
        <v>44929.0</v>
      </c>
      <c r="G70" s="5" t="s">
        <v>88</v>
      </c>
    </row>
    <row r="71" ht="15.75" customHeight="1">
      <c r="A71" s="2">
        <v>44867.0</v>
      </c>
      <c r="B71" s="3" t="s">
        <v>8</v>
      </c>
      <c r="C71" s="4" t="s">
        <v>72</v>
      </c>
      <c r="D71" s="4">
        <v>3.0</v>
      </c>
      <c r="E71" s="4" t="s">
        <v>10</v>
      </c>
      <c r="F71" s="2">
        <v>44929.0</v>
      </c>
      <c r="G71" s="5" t="s">
        <v>89</v>
      </c>
    </row>
    <row r="72" ht="15.75" customHeight="1">
      <c r="A72" s="2">
        <v>44867.0</v>
      </c>
      <c r="B72" s="3" t="s">
        <v>8</v>
      </c>
      <c r="C72" s="4" t="s">
        <v>72</v>
      </c>
      <c r="D72" s="4">
        <v>3.0</v>
      </c>
      <c r="E72" s="4" t="s">
        <v>12</v>
      </c>
      <c r="F72" s="2">
        <v>44929.0</v>
      </c>
      <c r="G72" s="5" t="s">
        <v>90</v>
      </c>
    </row>
    <row r="73" ht="15.75" customHeight="1">
      <c r="A73" s="2">
        <v>44867.0</v>
      </c>
      <c r="B73" s="3" t="s">
        <v>8</v>
      </c>
      <c r="C73" s="4" t="s">
        <v>72</v>
      </c>
      <c r="D73" s="4">
        <v>3.0</v>
      </c>
      <c r="E73" s="4" t="s">
        <v>14</v>
      </c>
      <c r="F73" s="2">
        <v>44929.0</v>
      </c>
      <c r="G73" s="5" t="s">
        <v>91</v>
      </c>
      <c r="H73" s="4"/>
    </row>
    <row r="74" ht="15.75" customHeight="1">
      <c r="A74" s="2">
        <v>44867.0</v>
      </c>
      <c r="B74" s="3" t="s">
        <v>8</v>
      </c>
      <c r="C74" s="4" t="s">
        <v>72</v>
      </c>
      <c r="D74" s="4">
        <v>3.0</v>
      </c>
      <c r="E74" s="4" t="s">
        <v>16</v>
      </c>
      <c r="F74" s="2">
        <v>44929.0</v>
      </c>
      <c r="G74" s="5" t="s">
        <v>92</v>
      </c>
      <c r="H74" s="4"/>
    </row>
    <row r="75" ht="15.75" customHeight="1">
      <c r="A75" s="2">
        <v>44867.0</v>
      </c>
      <c r="B75" s="3" t="s">
        <v>8</v>
      </c>
      <c r="C75" s="4" t="s">
        <v>72</v>
      </c>
      <c r="D75" s="4">
        <v>3.0</v>
      </c>
      <c r="E75" s="4" t="s">
        <v>18</v>
      </c>
      <c r="F75" s="2">
        <v>44929.0</v>
      </c>
      <c r="G75" s="5" t="s">
        <v>93</v>
      </c>
    </row>
    <row r="76" ht="15.75" customHeight="1">
      <c r="A76" s="3" t="s">
        <v>20</v>
      </c>
      <c r="B76" s="3" t="s">
        <v>21</v>
      </c>
      <c r="C76" s="3" t="s">
        <v>21</v>
      </c>
      <c r="D76" s="3" t="s">
        <v>21</v>
      </c>
      <c r="E76" s="3" t="s">
        <v>21</v>
      </c>
      <c r="F76" s="2">
        <v>44929.0</v>
      </c>
      <c r="G76" s="5" t="s">
        <v>94</v>
      </c>
      <c r="H76" s="4"/>
    </row>
    <row r="77" ht="15.75" customHeight="1">
      <c r="A77" s="2">
        <v>44867.0</v>
      </c>
      <c r="B77" s="3" t="s">
        <v>8</v>
      </c>
      <c r="C77" s="4" t="s">
        <v>72</v>
      </c>
      <c r="D77" s="4">
        <v>4.0</v>
      </c>
      <c r="E77" s="4" t="s">
        <v>10</v>
      </c>
      <c r="F77" s="2">
        <v>44929.0</v>
      </c>
      <c r="G77" s="5" t="s">
        <v>95</v>
      </c>
      <c r="H77" s="4"/>
    </row>
    <row r="78" ht="15.75" customHeight="1">
      <c r="A78" s="2">
        <v>44867.0</v>
      </c>
      <c r="B78" s="3" t="s">
        <v>8</v>
      </c>
      <c r="C78" s="4" t="s">
        <v>72</v>
      </c>
      <c r="D78" s="4">
        <v>4.0</v>
      </c>
      <c r="E78" s="4" t="s">
        <v>12</v>
      </c>
      <c r="F78" s="2">
        <v>44929.0</v>
      </c>
      <c r="G78" s="5" t="s">
        <v>96</v>
      </c>
      <c r="H78" s="4"/>
    </row>
    <row r="79" ht="14.25" customHeight="1">
      <c r="A79" s="2">
        <v>44867.0</v>
      </c>
      <c r="B79" s="3" t="s">
        <v>8</v>
      </c>
      <c r="C79" s="4" t="s">
        <v>72</v>
      </c>
      <c r="D79" s="4">
        <v>4.0</v>
      </c>
      <c r="E79" s="4" t="s">
        <v>14</v>
      </c>
      <c r="F79" s="2">
        <v>44929.0</v>
      </c>
      <c r="G79" s="5" t="s">
        <v>97</v>
      </c>
      <c r="H79" s="4"/>
    </row>
    <row r="80" ht="15.75" customHeight="1">
      <c r="A80" s="2">
        <v>44867.0</v>
      </c>
      <c r="B80" s="3" t="s">
        <v>8</v>
      </c>
      <c r="C80" s="4" t="s">
        <v>72</v>
      </c>
      <c r="D80" s="4">
        <v>4.0</v>
      </c>
      <c r="E80" s="4" t="s">
        <v>16</v>
      </c>
      <c r="F80" s="2">
        <v>44929.0</v>
      </c>
      <c r="G80" s="5" t="s">
        <v>98</v>
      </c>
      <c r="H80" s="4"/>
    </row>
    <row r="81" ht="15.75" customHeight="1">
      <c r="A81" s="2">
        <v>44867.0</v>
      </c>
      <c r="B81" s="3" t="s">
        <v>8</v>
      </c>
      <c r="C81" s="4" t="s">
        <v>72</v>
      </c>
      <c r="D81" s="4">
        <v>4.0</v>
      </c>
      <c r="E81" s="4" t="s">
        <v>18</v>
      </c>
      <c r="F81" s="2">
        <v>44929.0</v>
      </c>
      <c r="G81" s="5" t="s">
        <v>99</v>
      </c>
      <c r="H81" s="4"/>
    </row>
    <row r="82" ht="15.75" customHeight="1">
      <c r="A82" s="2">
        <v>44867.0</v>
      </c>
      <c r="B82" s="3" t="s">
        <v>8</v>
      </c>
      <c r="C82" s="4" t="s">
        <v>100</v>
      </c>
      <c r="D82" s="4">
        <v>1.0</v>
      </c>
      <c r="E82" s="4" t="s">
        <v>10</v>
      </c>
      <c r="F82" s="2">
        <v>44929.0</v>
      </c>
      <c r="G82" s="5" t="s">
        <v>101</v>
      </c>
      <c r="H82" s="4"/>
    </row>
    <row r="83" ht="15.75" customHeight="1">
      <c r="A83" s="2">
        <v>44867.0</v>
      </c>
      <c r="B83" s="3" t="s">
        <v>8</v>
      </c>
      <c r="C83" s="4" t="s">
        <v>100</v>
      </c>
      <c r="D83" s="4">
        <v>1.0</v>
      </c>
      <c r="E83" s="4" t="s">
        <v>12</v>
      </c>
      <c r="F83" s="2">
        <v>44929.0</v>
      </c>
      <c r="G83" s="5" t="s">
        <v>102</v>
      </c>
      <c r="H83" s="4"/>
    </row>
    <row r="84" ht="15.75" customHeight="1">
      <c r="A84" s="2">
        <v>44867.0</v>
      </c>
      <c r="B84" s="3" t="s">
        <v>8</v>
      </c>
      <c r="C84" s="4" t="s">
        <v>100</v>
      </c>
      <c r="D84" s="4">
        <v>1.0</v>
      </c>
      <c r="E84" s="4" t="s">
        <v>14</v>
      </c>
      <c r="F84" s="2">
        <v>44929.0</v>
      </c>
      <c r="G84" s="5" t="s">
        <v>103</v>
      </c>
    </row>
    <row r="85" ht="15.75" customHeight="1">
      <c r="A85" s="2">
        <v>44867.0</v>
      </c>
      <c r="B85" s="3" t="s">
        <v>8</v>
      </c>
      <c r="C85" s="4" t="s">
        <v>100</v>
      </c>
      <c r="D85" s="4">
        <v>1.0</v>
      </c>
      <c r="E85" s="4" t="s">
        <v>16</v>
      </c>
      <c r="F85" s="2">
        <v>44929.0</v>
      </c>
      <c r="G85" s="5" t="s">
        <v>104</v>
      </c>
    </row>
    <row r="86" ht="15.75" customHeight="1">
      <c r="A86" s="2">
        <v>44867.0</v>
      </c>
      <c r="B86" s="3" t="s">
        <v>8</v>
      </c>
      <c r="C86" s="4" t="s">
        <v>100</v>
      </c>
      <c r="D86" s="4">
        <v>1.0</v>
      </c>
      <c r="E86" s="4" t="s">
        <v>18</v>
      </c>
      <c r="F86" s="2">
        <v>44929.0</v>
      </c>
      <c r="G86" s="5" t="s">
        <v>105</v>
      </c>
    </row>
    <row r="87" ht="15.75" customHeight="1">
      <c r="A87" s="3" t="s">
        <v>20</v>
      </c>
      <c r="B87" s="3" t="s">
        <v>21</v>
      </c>
      <c r="C87" s="3" t="s">
        <v>21</v>
      </c>
      <c r="D87" s="3" t="s">
        <v>21</v>
      </c>
      <c r="E87" s="3" t="s">
        <v>21</v>
      </c>
      <c r="F87" s="2">
        <v>44929.0</v>
      </c>
      <c r="G87" s="5" t="s">
        <v>106</v>
      </c>
    </row>
    <row r="88" ht="15.75" customHeight="1">
      <c r="A88" s="2">
        <v>44867.0</v>
      </c>
      <c r="B88" s="3" t="s">
        <v>8</v>
      </c>
      <c r="C88" s="4" t="s">
        <v>100</v>
      </c>
      <c r="D88" s="4">
        <v>2.0</v>
      </c>
      <c r="E88" s="4" t="s">
        <v>10</v>
      </c>
      <c r="F88" s="2">
        <v>44929.0</v>
      </c>
      <c r="G88" s="5" t="s">
        <v>107</v>
      </c>
    </row>
    <row r="89" ht="15.75" customHeight="1">
      <c r="A89" s="2">
        <v>44867.0</v>
      </c>
      <c r="B89" s="3" t="s">
        <v>8</v>
      </c>
      <c r="C89" s="4" t="s">
        <v>100</v>
      </c>
      <c r="D89" s="4">
        <v>2.0</v>
      </c>
      <c r="E89" s="4" t="s">
        <v>12</v>
      </c>
      <c r="F89" s="2">
        <v>44929.0</v>
      </c>
      <c r="G89" s="5" t="s">
        <v>108</v>
      </c>
    </row>
    <row r="90" ht="15.75" customHeight="1">
      <c r="A90" s="2">
        <v>44867.0</v>
      </c>
      <c r="B90" s="3" t="s">
        <v>8</v>
      </c>
      <c r="C90" s="4" t="s">
        <v>100</v>
      </c>
      <c r="D90" s="4">
        <v>2.0</v>
      </c>
      <c r="E90" s="4" t="s">
        <v>14</v>
      </c>
      <c r="F90" s="2">
        <v>44929.0</v>
      </c>
      <c r="G90" s="5" t="s">
        <v>109</v>
      </c>
    </row>
    <row r="91" ht="15.75" customHeight="1">
      <c r="A91" s="2">
        <v>44867.0</v>
      </c>
      <c r="B91" s="3" t="s">
        <v>8</v>
      </c>
      <c r="C91" s="4" t="s">
        <v>100</v>
      </c>
      <c r="D91" s="4">
        <v>2.0</v>
      </c>
      <c r="E91" s="4" t="s">
        <v>16</v>
      </c>
      <c r="F91" s="2">
        <v>44929.0</v>
      </c>
      <c r="G91" s="5" t="s">
        <v>110</v>
      </c>
    </row>
    <row r="92" ht="15.75" customHeight="1">
      <c r="A92" s="2">
        <v>44867.0</v>
      </c>
      <c r="B92" s="3" t="s">
        <v>8</v>
      </c>
      <c r="C92" s="4" t="s">
        <v>100</v>
      </c>
      <c r="D92" s="4">
        <v>2.0</v>
      </c>
      <c r="E92" s="4" t="s">
        <v>18</v>
      </c>
      <c r="F92" s="2">
        <v>44929.0</v>
      </c>
      <c r="G92" s="5" t="s">
        <v>111</v>
      </c>
    </row>
    <row r="93" ht="15.75" customHeight="1">
      <c r="A93" s="2">
        <v>44867.0</v>
      </c>
      <c r="B93" s="3" t="s">
        <v>8</v>
      </c>
      <c r="C93" s="4" t="s">
        <v>100</v>
      </c>
      <c r="D93" s="4">
        <v>3.0</v>
      </c>
      <c r="E93" s="4" t="s">
        <v>10</v>
      </c>
      <c r="F93" s="2">
        <v>44929.0</v>
      </c>
      <c r="G93" s="5" t="s">
        <v>112</v>
      </c>
    </row>
    <row r="94" ht="15.75" customHeight="1">
      <c r="A94" s="2">
        <v>44867.0</v>
      </c>
      <c r="B94" s="3" t="s">
        <v>8</v>
      </c>
      <c r="C94" s="4" t="s">
        <v>100</v>
      </c>
      <c r="D94" s="4">
        <v>3.0</v>
      </c>
      <c r="E94" s="4" t="s">
        <v>12</v>
      </c>
      <c r="F94" s="2">
        <v>44929.0</v>
      </c>
      <c r="G94" s="5" t="s">
        <v>113</v>
      </c>
    </row>
    <row r="95" ht="15.75" customHeight="1">
      <c r="A95" s="3" t="s">
        <v>20</v>
      </c>
      <c r="B95" s="3" t="s">
        <v>21</v>
      </c>
      <c r="C95" s="3" t="s">
        <v>21</v>
      </c>
      <c r="D95" s="3" t="s">
        <v>21</v>
      </c>
      <c r="E95" s="3" t="s">
        <v>21</v>
      </c>
      <c r="F95" s="2">
        <v>44930.0</v>
      </c>
      <c r="G95" s="5" t="s">
        <v>114</v>
      </c>
    </row>
    <row r="96" ht="15.75" customHeight="1">
      <c r="A96" s="3" t="s">
        <v>20</v>
      </c>
      <c r="B96" s="3" t="s">
        <v>21</v>
      </c>
      <c r="C96" s="3" t="s">
        <v>21</v>
      </c>
      <c r="D96" s="3" t="s">
        <v>21</v>
      </c>
      <c r="E96" s="3" t="s">
        <v>21</v>
      </c>
      <c r="F96" s="2">
        <v>44930.0</v>
      </c>
      <c r="G96" s="5" t="s">
        <v>115</v>
      </c>
    </row>
    <row r="97" ht="15.75" customHeight="1">
      <c r="A97" s="3" t="s">
        <v>20</v>
      </c>
      <c r="B97" s="3" t="s">
        <v>21</v>
      </c>
      <c r="C97" s="3" t="s">
        <v>21</v>
      </c>
      <c r="D97" s="3" t="s">
        <v>21</v>
      </c>
      <c r="E97" s="3" t="s">
        <v>21</v>
      </c>
      <c r="F97" s="2">
        <v>44930.0</v>
      </c>
      <c r="G97" s="5" t="s">
        <v>116</v>
      </c>
    </row>
    <row r="98" ht="15.75" customHeight="1">
      <c r="A98" s="3" t="s">
        <v>20</v>
      </c>
      <c r="B98" s="3" t="s">
        <v>21</v>
      </c>
      <c r="C98" s="3" t="s">
        <v>21</v>
      </c>
      <c r="D98" s="3" t="s">
        <v>21</v>
      </c>
      <c r="E98" s="3" t="s">
        <v>21</v>
      </c>
      <c r="F98" s="2">
        <v>44930.0</v>
      </c>
      <c r="G98" s="5" t="s">
        <v>117</v>
      </c>
    </row>
    <row r="99" ht="15.75" customHeight="1">
      <c r="A99" s="3" t="s">
        <v>20</v>
      </c>
      <c r="B99" s="3" t="s">
        <v>21</v>
      </c>
      <c r="C99" s="3" t="s">
        <v>21</v>
      </c>
      <c r="D99" s="3" t="s">
        <v>21</v>
      </c>
      <c r="E99" s="3" t="s">
        <v>21</v>
      </c>
      <c r="F99" s="2">
        <v>44930.0</v>
      </c>
      <c r="G99" s="5" t="s">
        <v>118</v>
      </c>
    </row>
    <row r="100" ht="15.75" customHeight="1">
      <c r="A100" s="2">
        <v>44867.0</v>
      </c>
      <c r="B100" s="3" t="s">
        <v>8</v>
      </c>
      <c r="C100" s="4" t="s">
        <v>100</v>
      </c>
      <c r="D100" s="4">
        <v>3.0</v>
      </c>
      <c r="E100" s="4" t="s">
        <v>14</v>
      </c>
      <c r="F100" s="2">
        <v>44930.0</v>
      </c>
      <c r="G100" s="5" t="s">
        <v>119</v>
      </c>
    </row>
    <row r="101" ht="15.75" customHeight="1">
      <c r="A101" s="2">
        <v>44867.0</v>
      </c>
      <c r="B101" s="3" t="s">
        <v>8</v>
      </c>
      <c r="C101" s="4" t="s">
        <v>100</v>
      </c>
      <c r="D101" s="4">
        <v>3.0</v>
      </c>
      <c r="E101" s="4" t="s">
        <v>16</v>
      </c>
      <c r="F101" s="2">
        <v>44930.0</v>
      </c>
      <c r="G101" s="5" t="s">
        <v>120</v>
      </c>
    </row>
    <row r="102" ht="15.75" customHeight="1">
      <c r="A102" s="2">
        <v>44867.0</v>
      </c>
      <c r="B102" s="3" t="s">
        <v>8</v>
      </c>
      <c r="C102" s="4" t="s">
        <v>100</v>
      </c>
      <c r="D102" s="4">
        <v>3.0</v>
      </c>
      <c r="E102" s="4" t="s">
        <v>18</v>
      </c>
      <c r="F102" s="2">
        <v>44930.0</v>
      </c>
      <c r="G102" s="5" t="s">
        <v>121</v>
      </c>
    </row>
    <row r="103" ht="15.75" customHeight="1">
      <c r="A103" s="2">
        <v>44867.0</v>
      </c>
      <c r="B103" s="3" t="s">
        <v>8</v>
      </c>
      <c r="C103" s="4" t="s">
        <v>100</v>
      </c>
      <c r="D103" s="4">
        <v>4.0</v>
      </c>
      <c r="E103" s="4" t="s">
        <v>10</v>
      </c>
      <c r="F103" s="2">
        <v>44930.0</v>
      </c>
      <c r="G103" s="5" t="s">
        <v>122</v>
      </c>
    </row>
    <row r="104" ht="15.75" customHeight="1">
      <c r="A104" s="2">
        <v>44867.0</v>
      </c>
      <c r="B104" s="3" t="s">
        <v>8</v>
      </c>
      <c r="C104" s="4" t="s">
        <v>100</v>
      </c>
      <c r="D104" s="4">
        <v>4.0</v>
      </c>
      <c r="E104" s="4" t="s">
        <v>12</v>
      </c>
      <c r="F104" s="2">
        <v>44930.0</v>
      </c>
      <c r="G104" s="5" t="s">
        <v>123</v>
      </c>
    </row>
    <row r="105" ht="15.75" customHeight="1">
      <c r="A105" s="2">
        <v>44867.0</v>
      </c>
      <c r="B105" s="3" t="s">
        <v>8</v>
      </c>
      <c r="C105" s="4" t="s">
        <v>100</v>
      </c>
      <c r="D105" s="4">
        <v>4.0</v>
      </c>
      <c r="E105" s="4" t="s">
        <v>14</v>
      </c>
      <c r="F105" s="2">
        <v>44930.0</v>
      </c>
      <c r="G105" s="5" t="s">
        <v>124</v>
      </c>
    </row>
    <row r="106" ht="15.75" customHeight="1">
      <c r="A106" s="2">
        <v>44867.0</v>
      </c>
      <c r="B106" s="3" t="s">
        <v>8</v>
      </c>
      <c r="C106" s="4" t="s">
        <v>100</v>
      </c>
      <c r="D106" s="4">
        <v>4.0</v>
      </c>
      <c r="E106" s="4" t="s">
        <v>16</v>
      </c>
      <c r="F106" s="2">
        <v>44930.0</v>
      </c>
      <c r="G106" s="5" t="s">
        <v>125</v>
      </c>
      <c r="H106" s="4" t="s">
        <v>126</v>
      </c>
    </row>
    <row r="107" ht="15.75" customHeight="1">
      <c r="A107" s="2">
        <v>44867.0</v>
      </c>
      <c r="B107" s="3" t="s">
        <v>8</v>
      </c>
      <c r="C107" s="4" t="s">
        <v>100</v>
      </c>
      <c r="D107" s="4">
        <v>4.0</v>
      </c>
      <c r="E107" s="4" t="s">
        <v>18</v>
      </c>
      <c r="F107" s="2">
        <v>44930.0</v>
      </c>
      <c r="G107" s="5" t="s">
        <v>127</v>
      </c>
    </row>
    <row r="108" ht="15.75" customHeight="1">
      <c r="F108" s="2"/>
      <c r="G108" s="5"/>
    </row>
    <row r="109" ht="15.75" customHeight="1">
      <c r="F109" s="2"/>
      <c r="G109" s="6"/>
    </row>
    <row r="110" ht="15.75" customHeight="1">
      <c r="F110" s="2"/>
      <c r="G110" s="6"/>
    </row>
    <row r="111" ht="15.75" customHeight="1">
      <c r="F111" s="2"/>
      <c r="G111" s="6"/>
    </row>
    <row r="112" ht="15.75" customHeight="1">
      <c r="F112" s="2"/>
      <c r="G112" s="6"/>
    </row>
    <row r="113" ht="15.75" customHeight="1">
      <c r="F113" s="2"/>
      <c r="G113" s="6"/>
    </row>
    <row r="114" ht="15.75" customHeight="1">
      <c r="F114" s="2"/>
      <c r="G114" s="6"/>
    </row>
    <row r="115" ht="15.75" customHeight="1">
      <c r="F115" s="2"/>
      <c r="G115" s="6"/>
    </row>
    <row r="116" ht="15.75" customHeight="1">
      <c r="F116" s="2"/>
      <c r="G116" s="6"/>
    </row>
    <row r="117" ht="15.75" customHeight="1">
      <c r="F117" s="2"/>
      <c r="G117" s="6"/>
    </row>
    <row r="118" ht="15.75" customHeight="1">
      <c r="F118" s="2"/>
      <c r="G118" s="6"/>
      <c r="H118" s="4"/>
    </row>
    <row r="119" ht="15.75" customHeight="1">
      <c r="F119" s="2"/>
      <c r="G119" s="6"/>
      <c r="H119" s="4"/>
    </row>
    <row r="120" ht="15.75" customHeight="1">
      <c r="F120" s="2"/>
      <c r="G120" s="6"/>
      <c r="H120" s="4"/>
    </row>
    <row r="121" ht="15.75" customHeight="1">
      <c r="F121" s="2"/>
      <c r="G121" s="6"/>
    </row>
    <row r="122" ht="15.75" customHeight="1">
      <c r="F122" s="2"/>
      <c r="G122" s="6"/>
    </row>
    <row r="123" ht="15.75" customHeight="1">
      <c r="F123" s="2"/>
      <c r="G123" s="6"/>
    </row>
    <row r="124" ht="15.75" customHeight="1">
      <c r="F124" s="2"/>
      <c r="G124" s="6"/>
    </row>
    <row r="125" ht="15.75" customHeight="1">
      <c r="F125" s="2"/>
      <c r="G125" s="6"/>
    </row>
    <row r="126" ht="15.75" customHeight="1">
      <c r="F126" s="2"/>
      <c r="G126" s="6"/>
    </row>
    <row r="127" ht="15.75" customHeight="1">
      <c r="F127" s="2"/>
      <c r="G127" s="6"/>
    </row>
    <row r="128" ht="15.75" customHeight="1">
      <c r="F128" s="2"/>
      <c r="G128" s="6"/>
    </row>
    <row r="129" ht="15.75" customHeight="1">
      <c r="F129" s="2"/>
      <c r="G129" s="6"/>
    </row>
    <row r="130" ht="15.75" customHeight="1">
      <c r="F130" s="2"/>
      <c r="G130" s="6"/>
    </row>
    <row r="131" ht="15.75" customHeight="1">
      <c r="F131" s="2"/>
      <c r="G131" s="6"/>
    </row>
    <row r="132" ht="15.75" customHeight="1">
      <c r="F132" s="2"/>
      <c r="G132" s="6"/>
    </row>
    <row r="133" ht="15.75" customHeight="1">
      <c r="F133" s="2"/>
      <c r="G133" s="6"/>
    </row>
    <row r="134" ht="15.75" customHeight="1">
      <c r="F134" s="2"/>
      <c r="G134" s="6"/>
    </row>
    <row r="135" ht="15.75" customHeight="1">
      <c r="F135" s="2"/>
      <c r="G135" s="6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3.0"/>
    <col customWidth="1" min="3" max="3" width="14.14"/>
    <col customWidth="1" min="4" max="4" width="15.71"/>
    <col customWidth="1" min="5" max="5" width="17.29"/>
    <col customWidth="1" min="6" max="26" width="8.71"/>
  </cols>
  <sheetData>
    <row r="1">
      <c r="A1" s="3" t="s">
        <v>128</v>
      </c>
      <c r="B1" s="3" t="s">
        <v>129</v>
      </c>
    </row>
    <row r="2">
      <c r="A2" s="2">
        <v>44930.0</v>
      </c>
      <c r="B2" s="2" t="s">
        <v>130</v>
      </c>
    </row>
    <row r="3">
      <c r="A3" s="1" t="s">
        <v>131</v>
      </c>
      <c r="B3" s="1" t="s">
        <v>132</v>
      </c>
      <c r="C3" s="1" t="s">
        <v>133</v>
      </c>
      <c r="D3" s="1" t="s">
        <v>134</v>
      </c>
      <c r="E3" s="1" t="s">
        <v>6</v>
      </c>
    </row>
    <row r="4">
      <c r="A4" s="3">
        <v>1.0</v>
      </c>
      <c r="B4" s="7">
        <v>10098.0</v>
      </c>
      <c r="C4" s="7">
        <v>943669.0</v>
      </c>
      <c r="D4" s="7">
        <v>16435.0</v>
      </c>
      <c r="E4" s="5" t="s">
        <v>114</v>
      </c>
    </row>
    <row r="5">
      <c r="A5" s="3">
        <v>2.0</v>
      </c>
      <c r="B5" s="7">
        <v>10320.0</v>
      </c>
      <c r="C5" s="7">
        <v>946884.0</v>
      </c>
      <c r="D5" s="7">
        <v>16671.0</v>
      </c>
      <c r="E5" s="5" t="s">
        <v>115</v>
      </c>
    </row>
    <row r="6">
      <c r="A6" s="3">
        <v>3.0</v>
      </c>
      <c r="B6" s="7">
        <v>10374.0</v>
      </c>
      <c r="C6" s="7">
        <v>946705.0</v>
      </c>
      <c r="D6" s="7">
        <v>16689.0</v>
      </c>
      <c r="E6" s="5" t="s">
        <v>116</v>
      </c>
    </row>
    <row r="7">
      <c r="A7" s="3">
        <v>4.0</v>
      </c>
      <c r="B7" s="7">
        <v>10368.0</v>
      </c>
      <c r="C7" s="7">
        <v>950954.0</v>
      </c>
      <c r="D7" s="7">
        <v>16939.0</v>
      </c>
      <c r="E7" s="5" t="s">
        <v>117</v>
      </c>
    </row>
    <row r="8">
      <c r="A8" s="3">
        <v>5.0</v>
      </c>
      <c r="B8" s="7">
        <v>10414.0</v>
      </c>
      <c r="C8" s="7">
        <v>957944.0</v>
      </c>
      <c r="D8" s="7">
        <v>17130.0</v>
      </c>
      <c r="E8" s="5" t="s">
        <v>118</v>
      </c>
    </row>
    <row r="9">
      <c r="A9" s="3">
        <v>6.0</v>
      </c>
    </row>
    <row r="10">
      <c r="A10" s="3">
        <v>7.0</v>
      </c>
    </row>
    <row r="11">
      <c r="A11" s="3">
        <v>8.0</v>
      </c>
    </row>
    <row r="12">
      <c r="A12" s="3">
        <v>9.0</v>
      </c>
    </row>
    <row r="13">
      <c r="A13" s="3">
        <v>10.0</v>
      </c>
    </row>
    <row r="14">
      <c r="A14" s="3">
        <v>11.0</v>
      </c>
    </row>
    <row r="15">
      <c r="A15" s="3">
        <v>12.0</v>
      </c>
    </row>
    <row r="16">
      <c r="A16" s="3" t="s">
        <v>135</v>
      </c>
      <c r="B16" s="3">
        <f t="shared" ref="B16:D16" si="1">AVERAGE(B4:B15)</f>
        <v>10314.8</v>
      </c>
      <c r="C16" s="3">
        <f t="shared" si="1"/>
        <v>949231.2</v>
      </c>
      <c r="D16" s="3">
        <f t="shared" si="1"/>
        <v>16772.8</v>
      </c>
    </row>
    <row r="17">
      <c r="A17" s="3" t="s">
        <v>136</v>
      </c>
      <c r="B17" s="3">
        <f t="shared" ref="B17:D17" si="2">STDEV(B4:B15)/B16*100</f>
        <v>1.218664677</v>
      </c>
      <c r="C17" s="3">
        <f t="shared" si="2"/>
        <v>0.5811137865</v>
      </c>
      <c r="D17" s="3">
        <f t="shared" si="2"/>
        <v>1.59619133</v>
      </c>
    </row>
    <row r="19">
      <c r="A19" s="3" t="s">
        <v>128</v>
      </c>
      <c r="B19" s="3" t="s">
        <v>129</v>
      </c>
    </row>
    <row r="20">
      <c r="A20" s="2">
        <v>44929.0</v>
      </c>
      <c r="B20" s="3" t="s">
        <v>137</v>
      </c>
    </row>
    <row r="21" ht="15.75" customHeight="1">
      <c r="A21" s="1" t="s">
        <v>131</v>
      </c>
      <c r="B21" s="1" t="s">
        <v>132</v>
      </c>
      <c r="C21" s="1" t="s">
        <v>133</v>
      </c>
      <c r="D21" s="1" t="s">
        <v>134</v>
      </c>
      <c r="E21" s="1" t="s">
        <v>6</v>
      </c>
    </row>
    <row r="22" ht="15.75" customHeight="1">
      <c r="A22" s="3">
        <v>1.0</v>
      </c>
      <c r="B22" s="8">
        <v>10040.0</v>
      </c>
      <c r="C22" s="8">
        <v>961579.0</v>
      </c>
      <c r="D22" s="8">
        <v>15767.0</v>
      </c>
      <c r="E22" s="5" t="s">
        <v>81</v>
      </c>
    </row>
    <row r="23" ht="15.75" customHeight="1">
      <c r="A23" s="3">
        <v>2.0</v>
      </c>
      <c r="B23" s="3">
        <v>10325.0</v>
      </c>
      <c r="C23" s="8">
        <v>974048.0</v>
      </c>
      <c r="D23" s="8">
        <v>16016.0</v>
      </c>
      <c r="E23" s="5" t="s">
        <v>82</v>
      </c>
    </row>
    <row r="24" ht="15.75" customHeight="1">
      <c r="A24" s="3">
        <v>3.0</v>
      </c>
      <c r="B24" s="3">
        <v>10263.0</v>
      </c>
      <c r="C24" s="3">
        <v>966725.0</v>
      </c>
      <c r="D24" s="8">
        <v>16483.0</v>
      </c>
      <c r="E24" s="5" t="s">
        <v>83</v>
      </c>
    </row>
    <row r="25" ht="15.75" customHeight="1">
      <c r="A25" s="3">
        <v>4.0</v>
      </c>
      <c r="B25" s="8">
        <v>10327.0</v>
      </c>
      <c r="C25" s="8">
        <v>973745.0</v>
      </c>
      <c r="D25" s="3">
        <v>16205.0</v>
      </c>
      <c r="E25" s="5" t="s">
        <v>84</v>
      </c>
    </row>
    <row r="26" ht="15.75" customHeight="1">
      <c r="A26" s="3">
        <v>5.0</v>
      </c>
      <c r="B26" s="3">
        <v>10279.0</v>
      </c>
      <c r="C26" s="8">
        <v>971202.0</v>
      </c>
      <c r="D26" s="8">
        <v>16426.0</v>
      </c>
      <c r="E26" s="5" t="s">
        <v>85</v>
      </c>
    </row>
    <row r="27" ht="15.75" customHeight="1">
      <c r="A27" s="3">
        <v>6.0</v>
      </c>
      <c r="C27" s="8"/>
      <c r="D27" s="8"/>
      <c r="E27" s="9"/>
    </row>
    <row r="28" ht="15.75" customHeight="1">
      <c r="A28" s="3">
        <v>7.0</v>
      </c>
      <c r="B28" s="8"/>
      <c r="C28" s="8"/>
      <c r="D28" s="8"/>
      <c r="E28" s="9"/>
    </row>
    <row r="29" ht="15.75" customHeight="1">
      <c r="A29" s="3">
        <v>8.0</v>
      </c>
      <c r="B29" s="8"/>
      <c r="C29" s="8"/>
      <c r="D29" s="8"/>
      <c r="E29" s="9"/>
    </row>
    <row r="30" ht="15.75" customHeight="1">
      <c r="A30" s="3">
        <v>9.0</v>
      </c>
      <c r="B30" s="8"/>
      <c r="C30" s="8"/>
      <c r="D30" s="8"/>
      <c r="E30" s="9"/>
    </row>
    <row r="31" ht="15.75" customHeight="1">
      <c r="A31" s="3">
        <v>10.0</v>
      </c>
    </row>
    <row r="32" ht="15.75" customHeight="1">
      <c r="A32" s="3">
        <v>11.0</v>
      </c>
    </row>
    <row r="33" ht="15.75" customHeight="1">
      <c r="A33" s="3">
        <v>12.0</v>
      </c>
    </row>
    <row r="34" ht="15.75" customHeight="1">
      <c r="A34" s="3" t="s">
        <v>135</v>
      </c>
      <c r="B34" s="3">
        <f t="shared" ref="B34:D34" si="3">AVERAGE(B22:B33)</f>
        <v>10246.8</v>
      </c>
      <c r="C34" s="3">
        <f t="shared" si="3"/>
        <v>969459.8</v>
      </c>
      <c r="D34" s="3">
        <f t="shared" si="3"/>
        <v>16179.4</v>
      </c>
    </row>
    <row r="35" ht="15.75" customHeight="1">
      <c r="A35" s="3" t="s">
        <v>136</v>
      </c>
      <c r="B35" s="3">
        <f t="shared" ref="B35:D35" si="4">STDEV(B22:B33)/B34*100</f>
        <v>1.161018292</v>
      </c>
      <c r="C35" s="3">
        <f t="shared" si="4"/>
        <v>0.5459072213</v>
      </c>
      <c r="D35" s="3">
        <f t="shared" si="4"/>
        <v>1.829354281</v>
      </c>
    </row>
    <row r="36" ht="15.75" customHeight="1"/>
    <row r="37" ht="15.75" customHeight="1">
      <c r="A37" s="3" t="s">
        <v>128</v>
      </c>
      <c r="B37" s="3" t="s">
        <v>129</v>
      </c>
    </row>
    <row r="38" ht="15.75" customHeight="1">
      <c r="A38" s="2"/>
    </row>
    <row r="39" ht="15.75" customHeight="1">
      <c r="A39" s="1" t="s">
        <v>131</v>
      </c>
      <c r="B39" s="1" t="s">
        <v>132</v>
      </c>
      <c r="C39" s="1" t="s">
        <v>133</v>
      </c>
      <c r="D39" s="1" t="s">
        <v>134</v>
      </c>
      <c r="E39" s="1" t="s">
        <v>6</v>
      </c>
    </row>
    <row r="40" ht="15.75" customHeight="1">
      <c r="A40" s="3">
        <v>1.0</v>
      </c>
      <c r="B40" s="8"/>
      <c r="C40" s="8"/>
      <c r="D40" s="8"/>
    </row>
    <row r="41" ht="15.75" customHeight="1">
      <c r="A41" s="3">
        <v>2.0</v>
      </c>
      <c r="B41" s="8"/>
      <c r="C41" s="8"/>
      <c r="D41" s="8"/>
    </row>
    <row r="42" ht="15.75" customHeight="1">
      <c r="A42" s="3">
        <v>3.0</v>
      </c>
      <c r="B42" s="8"/>
      <c r="C42" s="8"/>
      <c r="D42" s="8"/>
    </row>
    <row r="43" ht="15.75" customHeight="1">
      <c r="A43" s="3">
        <v>4.0</v>
      </c>
      <c r="B43" s="8"/>
      <c r="C43" s="8"/>
      <c r="D43" s="8"/>
    </row>
    <row r="44" ht="15.75" customHeight="1">
      <c r="A44" s="3">
        <v>5.0</v>
      </c>
      <c r="B44" s="8"/>
      <c r="C44" s="8"/>
      <c r="D44" s="8"/>
    </row>
    <row r="45" ht="15.75" customHeight="1">
      <c r="A45" s="3">
        <v>6.0</v>
      </c>
      <c r="B45" s="8"/>
      <c r="C45" s="8"/>
      <c r="D45" s="8"/>
    </row>
    <row r="46" ht="15.75" customHeight="1">
      <c r="A46" s="3">
        <v>7.0</v>
      </c>
      <c r="B46" s="8"/>
      <c r="C46" s="8"/>
      <c r="D46" s="8"/>
    </row>
    <row r="47" ht="15.75" customHeight="1">
      <c r="A47" s="3">
        <v>8.0</v>
      </c>
    </row>
    <row r="48" ht="15.75" customHeight="1">
      <c r="A48" s="3">
        <v>9.0</v>
      </c>
    </row>
    <row r="49" ht="15.75" customHeight="1">
      <c r="A49" s="3">
        <v>10.0</v>
      </c>
    </row>
    <row r="50" ht="15.75" customHeight="1">
      <c r="A50" s="3">
        <v>11.0</v>
      </c>
    </row>
    <row r="51" ht="15.75" customHeight="1">
      <c r="A51" s="3">
        <v>12.0</v>
      </c>
    </row>
    <row r="52" ht="15.75" customHeight="1">
      <c r="A52" s="3" t="s">
        <v>135</v>
      </c>
      <c r="B52" s="3" t="str">
        <f t="shared" ref="B52:D52" si="5">AVERAGE(B40:B51)</f>
        <v>#DIV/0!</v>
      </c>
      <c r="C52" s="3" t="str">
        <f t="shared" si="5"/>
        <v>#DIV/0!</v>
      </c>
      <c r="D52" s="3" t="str">
        <f t="shared" si="5"/>
        <v>#DIV/0!</v>
      </c>
    </row>
    <row r="53" ht="15.75" customHeight="1">
      <c r="A53" s="3" t="s">
        <v>136</v>
      </c>
      <c r="B53" s="3" t="str">
        <f t="shared" ref="B53:D53" si="6">STDEV(B40:B51)/B52*100</f>
        <v>#DIV/0!</v>
      </c>
      <c r="C53" s="3" t="str">
        <f t="shared" si="6"/>
        <v>#DIV/0!</v>
      </c>
      <c r="D53" s="3" t="str">
        <f t="shared" si="6"/>
        <v>#DIV/0!</v>
      </c>
    </row>
    <row r="54" ht="15.75" customHeight="1"/>
    <row r="55" ht="15.75" customHeight="1">
      <c r="A55" s="3" t="s">
        <v>128</v>
      </c>
      <c r="B55" s="3" t="s">
        <v>129</v>
      </c>
    </row>
    <row r="56" ht="15.75" customHeight="1">
      <c r="A56" s="2"/>
    </row>
    <row r="57" ht="15.75" customHeight="1">
      <c r="A57" s="1" t="s">
        <v>131</v>
      </c>
      <c r="B57" s="1" t="s">
        <v>132</v>
      </c>
      <c r="C57" s="1" t="s">
        <v>133</v>
      </c>
      <c r="D57" s="1" t="s">
        <v>134</v>
      </c>
      <c r="E57" s="1" t="s">
        <v>6</v>
      </c>
    </row>
    <row r="58" ht="15.75" customHeight="1">
      <c r="A58" s="3">
        <v>1.0</v>
      </c>
      <c r="B58" s="8"/>
      <c r="C58" s="8"/>
      <c r="D58" s="8"/>
      <c r="E58" s="5"/>
    </row>
    <row r="59" ht="15.75" customHeight="1">
      <c r="A59" s="3">
        <v>2.0</v>
      </c>
      <c r="B59" s="8"/>
      <c r="C59" s="8"/>
      <c r="D59" s="8"/>
      <c r="E59" s="5"/>
    </row>
    <row r="60" ht="15.75" customHeight="1">
      <c r="A60" s="3">
        <v>3.0</v>
      </c>
      <c r="B60" s="8"/>
      <c r="C60" s="8"/>
      <c r="D60" s="8"/>
      <c r="E60" s="5"/>
    </row>
    <row r="61" ht="15.75" customHeight="1">
      <c r="A61" s="3">
        <v>4.0</v>
      </c>
      <c r="B61" s="8"/>
      <c r="C61" s="8"/>
      <c r="D61" s="8"/>
      <c r="E61" s="5"/>
    </row>
    <row r="62" ht="15.75" customHeight="1">
      <c r="A62" s="3">
        <v>5.0</v>
      </c>
      <c r="B62" s="8"/>
      <c r="C62" s="8"/>
      <c r="D62" s="8"/>
      <c r="E62" s="5"/>
    </row>
    <row r="63" ht="15.75" customHeight="1">
      <c r="A63" s="3">
        <v>6.0</v>
      </c>
      <c r="B63" s="10"/>
      <c r="C63" s="10"/>
      <c r="D63" s="10"/>
      <c r="E63" s="5"/>
    </row>
    <row r="64" ht="15.75" customHeight="1">
      <c r="A64" s="3">
        <v>7.0</v>
      </c>
      <c r="E64" s="5"/>
    </row>
    <row r="65" ht="15.75" customHeight="1">
      <c r="A65" s="3">
        <v>8.0</v>
      </c>
    </row>
    <row r="66" ht="15.75" customHeight="1">
      <c r="A66" s="3">
        <v>9.0</v>
      </c>
    </row>
    <row r="67" ht="15.75" customHeight="1">
      <c r="A67" s="3">
        <v>10.0</v>
      </c>
    </row>
    <row r="68" ht="15.75" customHeight="1">
      <c r="A68" s="3">
        <v>11.0</v>
      </c>
    </row>
    <row r="69" ht="15.75" customHeight="1">
      <c r="A69" s="3">
        <v>12.0</v>
      </c>
    </row>
    <row r="70" ht="15.75" customHeight="1">
      <c r="A70" s="3" t="s">
        <v>135</v>
      </c>
      <c r="B70" s="3" t="str">
        <f t="shared" ref="B70:D70" si="7">AVERAGE(B58:B69)</f>
        <v>#DIV/0!</v>
      </c>
      <c r="C70" s="3" t="str">
        <f t="shared" si="7"/>
        <v>#DIV/0!</v>
      </c>
      <c r="D70" s="3" t="str">
        <f t="shared" si="7"/>
        <v>#DIV/0!</v>
      </c>
    </row>
    <row r="71" ht="15.75" customHeight="1">
      <c r="A71" s="3" t="s">
        <v>136</v>
      </c>
      <c r="B71" s="3" t="str">
        <f t="shared" ref="B71:D71" si="8">STDEV(B58:B69)/B70*100</f>
        <v>#DIV/0!</v>
      </c>
      <c r="C71" s="3" t="str">
        <f t="shared" si="8"/>
        <v>#DIV/0!</v>
      </c>
      <c r="D71" s="3" t="str">
        <f t="shared" si="8"/>
        <v>#DIV/0!</v>
      </c>
    </row>
    <row r="72" ht="15.75" customHeight="1">
      <c r="A72" s="3" t="s">
        <v>138</v>
      </c>
      <c r="B72" s="11">
        <v>0.02</v>
      </c>
      <c r="C72" s="11">
        <v>0.01</v>
      </c>
      <c r="D72" s="11">
        <v>0.05</v>
      </c>
    </row>
    <row r="73" ht="15.75" customHeight="1"/>
    <row r="74" ht="15.75" customHeight="1">
      <c r="A74" s="3" t="s">
        <v>128</v>
      </c>
      <c r="B74" s="3" t="s">
        <v>129</v>
      </c>
    </row>
    <row r="75" ht="15.75" customHeight="1">
      <c r="A75" s="2"/>
    </row>
    <row r="76" ht="15.75" customHeight="1">
      <c r="A76" s="1" t="s">
        <v>131</v>
      </c>
      <c r="B76" s="1" t="s">
        <v>132</v>
      </c>
      <c r="C76" s="1" t="s">
        <v>133</v>
      </c>
      <c r="D76" s="1" t="s">
        <v>134</v>
      </c>
      <c r="E76" s="1" t="s">
        <v>6</v>
      </c>
    </row>
    <row r="77" ht="15.75" customHeight="1">
      <c r="A77" s="3">
        <v>1.0</v>
      </c>
      <c r="B77" s="8"/>
      <c r="C77" s="8"/>
      <c r="D77" s="8"/>
      <c r="E77" s="5"/>
    </row>
    <row r="78" ht="15.75" customHeight="1">
      <c r="A78" s="3">
        <v>2.0</v>
      </c>
      <c r="B78" s="8"/>
      <c r="C78" s="8"/>
      <c r="D78" s="8"/>
      <c r="E78" s="5"/>
    </row>
    <row r="79" ht="15.75" customHeight="1">
      <c r="A79" s="3">
        <v>3.0</v>
      </c>
      <c r="B79" s="8"/>
      <c r="C79" s="8"/>
      <c r="D79" s="8"/>
      <c r="E79" s="5"/>
    </row>
    <row r="80" ht="15.75" customHeight="1">
      <c r="A80" s="3">
        <v>4.0</v>
      </c>
      <c r="B80" s="8"/>
      <c r="C80" s="8"/>
      <c r="D80" s="8"/>
      <c r="E80" s="5"/>
    </row>
    <row r="81" ht="15.75" customHeight="1">
      <c r="A81" s="3">
        <v>5.0</v>
      </c>
      <c r="B81" s="8"/>
      <c r="C81" s="8"/>
      <c r="D81" s="8"/>
      <c r="E81" s="5"/>
    </row>
    <row r="82" ht="15.75" customHeight="1">
      <c r="A82" s="3">
        <v>6.0</v>
      </c>
      <c r="E82" s="5"/>
    </row>
    <row r="83" ht="15.75" customHeight="1">
      <c r="A83" s="3">
        <v>7.0</v>
      </c>
      <c r="E83" s="5"/>
    </row>
    <row r="84" ht="15.75" customHeight="1">
      <c r="A84" s="3">
        <v>8.0</v>
      </c>
    </row>
    <row r="85" ht="15.75" customHeight="1">
      <c r="A85" s="3">
        <v>9.0</v>
      </c>
    </row>
    <row r="86" ht="15.75" customHeight="1">
      <c r="A86" s="3">
        <v>10.0</v>
      </c>
    </row>
    <row r="87" ht="15.75" customHeight="1">
      <c r="A87" s="3">
        <v>11.0</v>
      </c>
    </row>
    <row r="88" ht="15.75" customHeight="1">
      <c r="A88" s="3">
        <v>12.0</v>
      </c>
    </row>
    <row r="89" ht="15.75" customHeight="1">
      <c r="A89" s="3" t="s">
        <v>135</v>
      </c>
      <c r="B89" s="3" t="str">
        <f t="shared" ref="B89:D89" si="9">AVERAGE(B77:B88)</f>
        <v>#DIV/0!</v>
      </c>
      <c r="C89" s="3" t="str">
        <f t="shared" si="9"/>
        <v>#DIV/0!</v>
      </c>
      <c r="D89" s="3" t="str">
        <f t="shared" si="9"/>
        <v>#DIV/0!</v>
      </c>
    </row>
    <row r="90" ht="15.75" customHeight="1">
      <c r="A90" s="3" t="s">
        <v>136</v>
      </c>
      <c r="B90" s="3" t="str">
        <f t="shared" ref="B90:D90" si="10">STDEV(B77:B88)/B89*100</f>
        <v>#DIV/0!</v>
      </c>
      <c r="C90" s="3" t="str">
        <f t="shared" si="10"/>
        <v>#DIV/0!</v>
      </c>
      <c r="D90" s="3" t="str">
        <f t="shared" si="10"/>
        <v>#DIV/0!</v>
      </c>
    </row>
    <row r="91" ht="15.75" customHeight="1"/>
    <row r="92" ht="15.75" customHeight="1">
      <c r="A92" s="3" t="s">
        <v>128</v>
      </c>
      <c r="B92" s="3" t="s">
        <v>129</v>
      </c>
    </row>
    <row r="93" ht="15.75" customHeight="1">
      <c r="A93" s="2">
        <v>44915.0</v>
      </c>
      <c r="B93" s="3" t="s">
        <v>139</v>
      </c>
    </row>
    <row r="94" ht="15.75" customHeight="1">
      <c r="A94" s="1" t="s">
        <v>131</v>
      </c>
      <c r="B94" s="1" t="s">
        <v>132</v>
      </c>
      <c r="C94" s="1" t="s">
        <v>133</v>
      </c>
      <c r="D94" s="1" t="s">
        <v>134</v>
      </c>
      <c r="E94" s="1" t="s">
        <v>6</v>
      </c>
    </row>
    <row r="95" ht="15.75" customHeight="1">
      <c r="A95" s="3">
        <v>1.0</v>
      </c>
      <c r="B95" s="7">
        <v>10335.0</v>
      </c>
      <c r="C95" s="7">
        <v>950187.0</v>
      </c>
      <c r="D95" s="7">
        <v>15892.0</v>
      </c>
      <c r="E95" s="6" t="s">
        <v>22</v>
      </c>
    </row>
    <row r="96" ht="15.75" customHeight="1">
      <c r="A96" s="3">
        <v>2.0</v>
      </c>
      <c r="B96" s="7">
        <v>10353.0</v>
      </c>
      <c r="C96" s="7">
        <v>935255.0</v>
      </c>
      <c r="D96" s="7">
        <v>15820.0</v>
      </c>
      <c r="E96" s="6" t="s">
        <v>23</v>
      </c>
    </row>
    <row r="97" ht="15.75" customHeight="1">
      <c r="A97" s="3">
        <v>3.0</v>
      </c>
      <c r="B97" s="7">
        <v>10542.0</v>
      </c>
      <c r="C97" s="7">
        <v>950085.0</v>
      </c>
      <c r="D97" s="7">
        <v>16062.0</v>
      </c>
      <c r="E97" s="6" t="s">
        <v>24</v>
      </c>
    </row>
    <row r="98" ht="15.75" customHeight="1">
      <c r="A98" s="3">
        <v>4.0</v>
      </c>
      <c r="B98" s="7">
        <v>10587.0</v>
      </c>
      <c r="C98" s="7">
        <v>952058.0</v>
      </c>
      <c r="D98" s="7">
        <v>16293.0</v>
      </c>
      <c r="E98" s="6" t="s">
        <v>25</v>
      </c>
    </row>
    <row r="99" ht="15.75" customHeight="1">
      <c r="A99" s="3">
        <v>5.0</v>
      </c>
      <c r="B99" s="12"/>
      <c r="C99" s="12"/>
      <c r="D99" s="12"/>
      <c r="E99" s="13" t="s">
        <v>26</v>
      </c>
    </row>
    <row r="100" ht="15.75" customHeight="1">
      <c r="A100" s="3">
        <v>6.0</v>
      </c>
      <c r="B100" s="7">
        <v>10632.0</v>
      </c>
      <c r="C100" s="7">
        <v>958761.0</v>
      </c>
      <c r="D100" s="7">
        <v>16482.0</v>
      </c>
      <c r="E100" s="6" t="s">
        <v>27</v>
      </c>
    </row>
    <row r="101" ht="15.75" customHeight="1">
      <c r="A101" s="3">
        <v>7.0</v>
      </c>
      <c r="B101" s="7">
        <v>10181.0</v>
      </c>
      <c r="C101" s="7">
        <v>917593.0</v>
      </c>
      <c r="D101" s="7">
        <v>16107.0</v>
      </c>
      <c r="E101" s="6" t="s">
        <v>38</v>
      </c>
    </row>
    <row r="102" ht="15.75" customHeight="1">
      <c r="A102" s="3">
        <v>8.0</v>
      </c>
    </row>
    <row r="103" ht="15.75" customHeight="1">
      <c r="A103" s="3">
        <v>9.0</v>
      </c>
    </row>
    <row r="104" ht="15.75" customHeight="1">
      <c r="A104" s="3">
        <v>10.0</v>
      </c>
    </row>
    <row r="105" ht="15.75" customHeight="1">
      <c r="A105" s="3">
        <v>11.0</v>
      </c>
    </row>
    <row r="106" ht="15.75" customHeight="1">
      <c r="A106" s="3">
        <v>12.0</v>
      </c>
    </row>
    <row r="107" ht="15.75" customHeight="1">
      <c r="A107" s="3" t="s">
        <v>135</v>
      </c>
      <c r="B107" s="3">
        <f t="shared" ref="B107:D107" si="11">AVERAGE(B95:B106)</f>
        <v>10438.33333</v>
      </c>
      <c r="C107" s="3">
        <f t="shared" si="11"/>
        <v>943989.8333</v>
      </c>
      <c r="D107" s="3">
        <f t="shared" si="11"/>
        <v>16109.33333</v>
      </c>
    </row>
    <row r="108" ht="15.75" customHeight="1">
      <c r="A108" s="3" t="s">
        <v>136</v>
      </c>
      <c r="B108" s="3">
        <f t="shared" ref="B108:D108" si="12">STDEV(B95:B106)/B107*100</f>
        <v>1.684215784</v>
      </c>
      <c r="C108" s="3">
        <f t="shared" si="12"/>
        <v>1.593885879</v>
      </c>
      <c r="D108" s="3">
        <f t="shared" si="12"/>
        <v>1.535187331</v>
      </c>
    </row>
    <row r="109" ht="15.75" customHeight="1"/>
    <row r="110" ht="15.75" customHeight="1">
      <c r="A110" s="3" t="s">
        <v>128</v>
      </c>
      <c r="B110" s="3" t="s">
        <v>129</v>
      </c>
    </row>
    <row r="111" ht="15.75" customHeight="1">
      <c r="A111" s="2">
        <v>44916.0</v>
      </c>
      <c r="B111" s="2" t="s">
        <v>140</v>
      </c>
    </row>
    <row r="112" ht="15.75" customHeight="1">
      <c r="A112" s="1" t="s">
        <v>131</v>
      </c>
      <c r="B112" s="1" t="s">
        <v>132</v>
      </c>
      <c r="C112" s="1" t="s">
        <v>133</v>
      </c>
      <c r="D112" s="1" t="s">
        <v>134</v>
      </c>
      <c r="E112" s="1" t="s">
        <v>6</v>
      </c>
    </row>
    <row r="113" ht="15.75" customHeight="1">
      <c r="A113" s="3">
        <v>1.0</v>
      </c>
      <c r="B113" s="8">
        <v>10195.0</v>
      </c>
      <c r="C113" s="8">
        <v>951715.0</v>
      </c>
      <c r="D113" s="8">
        <v>15958.0</v>
      </c>
      <c r="E113" s="3" t="s">
        <v>50</v>
      </c>
    </row>
    <row r="114" ht="15.75" customHeight="1">
      <c r="A114" s="3">
        <v>2.0</v>
      </c>
      <c r="B114" s="3">
        <v>10597.0</v>
      </c>
      <c r="C114" s="8">
        <v>966406.0</v>
      </c>
      <c r="D114" s="8">
        <v>16451.0</v>
      </c>
      <c r="E114" s="3" t="s">
        <v>51</v>
      </c>
    </row>
    <row r="115" ht="15.75" customHeight="1">
      <c r="A115" s="3">
        <v>3.0</v>
      </c>
      <c r="B115" s="3">
        <v>10617.0</v>
      </c>
      <c r="C115" s="8">
        <v>958884.0</v>
      </c>
      <c r="D115" s="8">
        <v>16409.0</v>
      </c>
      <c r="E115" s="3" t="s">
        <v>52</v>
      </c>
    </row>
    <row r="116" ht="15.75" customHeight="1">
      <c r="A116" s="3">
        <v>4.0</v>
      </c>
      <c r="B116" s="3">
        <v>10578.0</v>
      </c>
      <c r="C116" s="8">
        <v>956814.0</v>
      </c>
      <c r="D116" s="8">
        <v>16311.0</v>
      </c>
      <c r="E116" s="3" t="s">
        <v>53</v>
      </c>
    </row>
    <row r="117" ht="15.75" customHeight="1">
      <c r="A117" s="3">
        <v>5.0</v>
      </c>
      <c r="B117" s="3">
        <v>10572.0</v>
      </c>
      <c r="C117" s="8">
        <v>959592.0</v>
      </c>
      <c r="D117" s="8">
        <v>16497.0</v>
      </c>
      <c r="E117" s="3" t="s">
        <v>54</v>
      </c>
    </row>
    <row r="118" ht="15.75" customHeight="1">
      <c r="A118" s="3">
        <v>6.0</v>
      </c>
    </row>
    <row r="119" ht="15.75" customHeight="1">
      <c r="A119" s="3">
        <v>7.0</v>
      </c>
    </row>
    <row r="120" ht="15.75" customHeight="1">
      <c r="A120" s="3">
        <v>8.0</v>
      </c>
    </row>
    <row r="121" ht="15.75" customHeight="1">
      <c r="A121" s="3">
        <v>9.0</v>
      </c>
    </row>
    <row r="122" ht="15.75" customHeight="1">
      <c r="A122" s="3">
        <v>10.0</v>
      </c>
    </row>
    <row r="123" ht="15.75" customHeight="1">
      <c r="A123" s="3">
        <v>11.0</v>
      </c>
    </row>
    <row r="124" ht="15.75" customHeight="1">
      <c r="A124" s="3">
        <v>12.0</v>
      </c>
    </row>
    <row r="125" ht="15.75" customHeight="1">
      <c r="A125" s="3" t="s">
        <v>135</v>
      </c>
      <c r="B125" s="3">
        <f t="shared" ref="B125:D125" si="13">AVERAGE(B113:B124)</f>
        <v>10511.8</v>
      </c>
      <c r="C125" s="3">
        <f t="shared" si="13"/>
        <v>958682.2</v>
      </c>
      <c r="D125" s="3">
        <f t="shared" si="13"/>
        <v>16325.2</v>
      </c>
    </row>
    <row r="126" ht="15.75" customHeight="1">
      <c r="A126" s="3" t="s">
        <v>136</v>
      </c>
      <c r="B126" s="3">
        <f t="shared" ref="B126:D126" si="14">STDEV(B113:B124)/B125*100</f>
        <v>1.693059848</v>
      </c>
      <c r="C126" s="3">
        <f t="shared" si="14"/>
        <v>0.5533281165</v>
      </c>
      <c r="D126" s="3">
        <f t="shared" si="14"/>
        <v>1.325858613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Gavin McNicol</dc:creator>
</cp:coreProperties>
</file>